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rylDolor\Desktop\SBVC\Projects\20250403_Biogas Plant ERP System\For Report\"/>
    </mc:Choice>
  </mc:AlternateContent>
  <xr:revisionPtr revIDLastSave="0" documentId="13_ncr:1_{39E56BC5-EF9A-4E0F-89E7-739152EF7B40}" xr6:coauthVersionLast="47" xr6:coauthVersionMax="47" xr10:uidLastSave="{00000000-0000-0000-0000-000000000000}"/>
  <bookViews>
    <workbookView xWindow="-108" yWindow="-108" windowWidth="23256" windowHeight="12456" firstSheet="12" activeTab="13" xr2:uid="{00000000-000D-0000-FFFF-FFFF00000000}"/>
  </bookViews>
  <sheets>
    <sheet name="May2022" sheetId="12" state="hidden" r:id="rId1"/>
    <sheet name="Jun2022" sheetId="13" state="hidden" r:id="rId2"/>
    <sheet name="Jul2022" sheetId="14" state="hidden" r:id="rId3"/>
    <sheet name="Aug2022" sheetId="15" state="hidden" r:id="rId4"/>
    <sheet name="Sheet1" sheetId="26" state="hidden" r:id="rId5"/>
    <sheet name="Sep2022" sheetId="16" state="hidden" r:id="rId6"/>
    <sheet name="Oct2022" sheetId="18" state="hidden" r:id="rId7"/>
    <sheet name="Nov2022" sheetId="20" state="hidden" r:id="rId8"/>
    <sheet name="Dec2022" sheetId="21" state="hidden" r:id="rId9"/>
    <sheet name="Jan2023" sheetId="22" state="hidden" r:id="rId10"/>
    <sheet name="Feb2023" sheetId="23" state="hidden" r:id="rId11"/>
    <sheet name="Mar2023" sheetId="24" state="hidden" r:id="rId12"/>
    <sheet name="Summary Daily" sheetId="66" r:id="rId13"/>
    <sheet name="NOV01" sheetId="35" r:id="rId14"/>
    <sheet name="NOV02" sheetId="67" r:id="rId15"/>
    <sheet name="NOV03" sheetId="68" r:id="rId16"/>
    <sheet name="NOV04" sheetId="69" r:id="rId17"/>
    <sheet name="NOV05" sheetId="70" r:id="rId18"/>
    <sheet name="Utilities Pol" sheetId="19" state="hidden" r:id="rId19"/>
    <sheet name="Change Tracker" sheetId="3" state="hidden" r:id="rId20"/>
    <sheet name="Previous day" sheetId="4" state="hidden" r:id="rId21"/>
  </sheets>
  <externalReferences>
    <externalReference r:id="rId22"/>
    <externalReference r:id="rId23"/>
  </externalReferences>
  <definedNames>
    <definedName name="_xlnm.Print_Area" localSheetId="13">'NOV01'!$A$1:$K$37</definedName>
    <definedName name="_xlnm.Print_Area" localSheetId="14">'NOV02'!$A$1:$K$37</definedName>
    <definedName name="_xlnm.Print_Area" localSheetId="15">'NOV03'!$A$1:$K$37</definedName>
    <definedName name="_xlnm.Print_Area" localSheetId="16">'NOV04'!$A$1:$K$37</definedName>
    <definedName name="_xlnm.Print_Area" localSheetId="17">'NOV05'!$A$1:$K$37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66" l="1"/>
  <c r="D36" i="66"/>
  <c r="E36" i="66"/>
  <c r="F36" i="66"/>
  <c r="G36" i="66"/>
  <c r="H36" i="66"/>
  <c r="I36" i="66"/>
  <c r="J36" i="66"/>
  <c r="K36" i="66"/>
  <c r="L36" i="66"/>
  <c r="M36" i="66"/>
  <c r="N36" i="66"/>
  <c r="B36" i="66"/>
  <c r="J6" i="66"/>
  <c r="N6" i="66" s="1"/>
  <c r="L6" i="66"/>
  <c r="J7" i="66"/>
  <c r="L7" i="66"/>
  <c r="N7" i="66"/>
  <c r="J8" i="66"/>
  <c r="N8" i="66" s="1"/>
  <c r="L8" i="66"/>
  <c r="J9" i="66"/>
  <c r="L9" i="66"/>
  <c r="N9" i="66"/>
  <c r="J10" i="66"/>
  <c r="L10" i="66"/>
  <c r="N10" i="66"/>
  <c r="J11" i="66"/>
  <c r="N11" i="66" s="1"/>
  <c r="L11" i="66"/>
  <c r="J12" i="66"/>
  <c r="L12" i="66"/>
  <c r="N12" i="66" s="1"/>
  <c r="J13" i="66"/>
  <c r="L13" i="66"/>
  <c r="N13" i="66"/>
  <c r="J14" i="66"/>
  <c r="L14" i="66"/>
  <c r="N14" i="66" s="1"/>
  <c r="J15" i="66"/>
  <c r="L15" i="66"/>
  <c r="N15" i="66"/>
  <c r="J16" i="66"/>
  <c r="N16" i="66" s="1"/>
  <c r="L16" i="66"/>
  <c r="J17" i="66"/>
  <c r="L17" i="66"/>
  <c r="N17" i="66"/>
  <c r="J18" i="66"/>
  <c r="L18" i="66"/>
  <c r="N18" i="66"/>
  <c r="J19" i="66"/>
  <c r="N19" i="66" s="1"/>
  <c r="L19" i="66"/>
  <c r="J20" i="66"/>
  <c r="L20" i="66"/>
  <c r="N20" i="66" s="1"/>
  <c r="J21" i="66"/>
  <c r="L21" i="66"/>
  <c r="N21" i="66"/>
  <c r="J22" i="66"/>
  <c r="N22" i="66" s="1"/>
  <c r="L22" i="66"/>
  <c r="J23" i="66"/>
  <c r="L23" i="66"/>
  <c r="N23" i="66"/>
  <c r="J24" i="66"/>
  <c r="N24" i="66" s="1"/>
  <c r="L24" i="66"/>
  <c r="J25" i="66"/>
  <c r="L25" i="66"/>
  <c r="N25" i="66"/>
  <c r="J26" i="66"/>
  <c r="L26" i="66"/>
  <c r="N26" i="66"/>
  <c r="J27" i="66"/>
  <c r="N27" i="66" s="1"/>
  <c r="L27" i="66"/>
  <c r="J28" i="66"/>
  <c r="L28" i="66"/>
  <c r="N28" i="66" s="1"/>
  <c r="J29" i="66"/>
  <c r="L29" i="66"/>
  <c r="N29" i="66"/>
  <c r="J30" i="66"/>
  <c r="N30" i="66" s="1"/>
  <c r="L30" i="66"/>
  <c r="J31" i="66"/>
  <c r="L31" i="66"/>
  <c r="N31" i="66"/>
  <c r="J32" i="66"/>
  <c r="N32" i="66" s="1"/>
  <c r="L32" i="66"/>
  <c r="J33" i="66"/>
  <c r="L33" i="66"/>
  <c r="N33" i="66"/>
  <c r="J34" i="66"/>
  <c r="L34" i="66"/>
  <c r="N34" i="66"/>
  <c r="J35" i="66"/>
  <c r="N35" i="66" s="1"/>
  <c r="L35" i="66"/>
  <c r="N5" i="66"/>
  <c r="L5" i="66"/>
  <c r="J5" i="66"/>
  <c r="L32" i="70"/>
  <c r="J32" i="70"/>
  <c r="H32" i="70"/>
  <c r="G32" i="70"/>
  <c r="F32" i="70"/>
  <c r="E32" i="70"/>
  <c r="D32" i="70"/>
  <c r="C32" i="70"/>
  <c r="K31" i="70"/>
  <c r="M31" i="70" s="1"/>
  <c r="K30" i="70"/>
  <c r="M30" i="70" s="1"/>
  <c r="K29" i="70"/>
  <c r="M29" i="70" s="1"/>
  <c r="K28" i="70"/>
  <c r="M28" i="70" s="1"/>
  <c r="K27" i="70"/>
  <c r="M27" i="70" s="1"/>
  <c r="K26" i="70"/>
  <c r="M26" i="70" s="1"/>
  <c r="K25" i="70"/>
  <c r="M25" i="70" s="1"/>
  <c r="K24" i="70"/>
  <c r="M24" i="70" s="1"/>
  <c r="K23" i="70"/>
  <c r="M23" i="70" s="1"/>
  <c r="K22" i="70"/>
  <c r="M22" i="70" s="1"/>
  <c r="K21" i="70"/>
  <c r="M21" i="70" s="1"/>
  <c r="K20" i="70"/>
  <c r="M20" i="70" s="1"/>
  <c r="K19" i="70"/>
  <c r="M19" i="70" s="1"/>
  <c r="K18" i="70"/>
  <c r="M18" i="70" s="1"/>
  <c r="K17" i="70"/>
  <c r="M17" i="70" s="1"/>
  <c r="K16" i="70"/>
  <c r="M16" i="70" s="1"/>
  <c r="K15" i="70"/>
  <c r="M15" i="70" s="1"/>
  <c r="K14" i="70"/>
  <c r="M14" i="70" s="1"/>
  <c r="K13" i="70"/>
  <c r="M13" i="70" s="1"/>
  <c r="K12" i="70"/>
  <c r="M12" i="70" s="1"/>
  <c r="K11" i="70"/>
  <c r="M11" i="70" s="1"/>
  <c r="K10" i="70"/>
  <c r="M10" i="70" s="1"/>
  <c r="K9" i="70"/>
  <c r="M9" i="70" s="1"/>
  <c r="K8" i="70"/>
  <c r="M8" i="70" s="1"/>
  <c r="M32" i="70" s="1"/>
  <c r="K7" i="70"/>
  <c r="M7" i="70" s="1"/>
  <c r="L32" i="69"/>
  <c r="J32" i="69"/>
  <c r="H32" i="69"/>
  <c r="G32" i="69"/>
  <c r="F32" i="69"/>
  <c r="E32" i="69"/>
  <c r="D32" i="69"/>
  <c r="C32" i="69"/>
  <c r="K31" i="69"/>
  <c r="M31" i="69" s="1"/>
  <c r="K30" i="69"/>
  <c r="M30" i="69" s="1"/>
  <c r="M29" i="69"/>
  <c r="K29" i="69"/>
  <c r="K28" i="69"/>
  <c r="M28" i="69" s="1"/>
  <c r="K27" i="69"/>
  <c r="M27" i="69" s="1"/>
  <c r="K26" i="69"/>
  <c r="M26" i="69" s="1"/>
  <c r="M25" i="69"/>
  <c r="K25" i="69"/>
  <c r="K24" i="69"/>
  <c r="M24" i="69" s="1"/>
  <c r="K23" i="69"/>
  <c r="M23" i="69" s="1"/>
  <c r="K22" i="69"/>
  <c r="M22" i="69" s="1"/>
  <c r="M21" i="69"/>
  <c r="K21" i="69"/>
  <c r="K20" i="69"/>
  <c r="M20" i="69" s="1"/>
  <c r="K19" i="69"/>
  <c r="M19" i="69" s="1"/>
  <c r="K18" i="69"/>
  <c r="M18" i="69" s="1"/>
  <c r="M17" i="69"/>
  <c r="K17" i="69"/>
  <c r="K16" i="69"/>
  <c r="M16" i="69" s="1"/>
  <c r="K15" i="69"/>
  <c r="M15" i="69" s="1"/>
  <c r="K14" i="69"/>
  <c r="M14" i="69" s="1"/>
  <c r="M13" i="69"/>
  <c r="K13" i="69"/>
  <c r="K12" i="69"/>
  <c r="M12" i="69" s="1"/>
  <c r="K11" i="69"/>
  <c r="M11" i="69" s="1"/>
  <c r="K10" i="69"/>
  <c r="M10" i="69" s="1"/>
  <c r="M9" i="69"/>
  <c r="K9" i="69"/>
  <c r="K8" i="69"/>
  <c r="M8" i="69" s="1"/>
  <c r="K7" i="69"/>
  <c r="M7" i="69" s="1"/>
  <c r="L32" i="68"/>
  <c r="J32" i="68"/>
  <c r="H32" i="68"/>
  <c r="G32" i="68"/>
  <c r="F32" i="68"/>
  <c r="E32" i="68"/>
  <c r="D32" i="68"/>
  <c r="C32" i="68"/>
  <c r="K31" i="68"/>
  <c r="M31" i="68" s="1"/>
  <c r="K30" i="68"/>
  <c r="M30" i="68" s="1"/>
  <c r="K29" i="68"/>
  <c r="M29" i="68" s="1"/>
  <c r="K28" i="68"/>
  <c r="M28" i="68" s="1"/>
  <c r="K27" i="68"/>
  <c r="M27" i="68" s="1"/>
  <c r="K26" i="68"/>
  <c r="M26" i="68" s="1"/>
  <c r="K25" i="68"/>
  <c r="M25" i="68" s="1"/>
  <c r="K24" i="68"/>
  <c r="M24" i="68" s="1"/>
  <c r="K23" i="68"/>
  <c r="M23" i="68" s="1"/>
  <c r="K22" i="68"/>
  <c r="M22" i="68" s="1"/>
  <c r="K21" i="68"/>
  <c r="M21" i="68" s="1"/>
  <c r="K20" i="68"/>
  <c r="M20" i="68" s="1"/>
  <c r="K19" i="68"/>
  <c r="M19" i="68" s="1"/>
  <c r="K18" i="68"/>
  <c r="M18" i="68" s="1"/>
  <c r="K17" i="68"/>
  <c r="M17" i="68" s="1"/>
  <c r="K16" i="68"/>
  <c r="M16" i="68" s="1"/>
  <c r="K15" i="68"/>
  <c r="M15" i="68" s="1"/>
  <c r="K14" i="68"/>
  <c r="M14" i="68" s="1"/>
  <c r="K13" i="68"/>
  <c r="M13" i="68" s="1"/>
  <c r="K12" i="68"/>
  <c r="M12" i="68" s="1"/>
  <c r="K11" i="68"/>
  <c r="M11" i="68" s="1"/>
  <c r="K10" i="68"/>
  <c r="M10" i="68" s="1"/>
  <c r="K9" i="68"/>
  <c r="M9" i="68" s="1"/>
  <c r="K8" i="68"/>
  <c r="M8" i="68" s="1"/>
  <c r="M32" i="68" s="1"/>
  <c r="K7" i="68"/>
  <c r="M7" i="68" s="1"/>
  <c r="L32" i="67"/>
  <c r="J32" i="67"/>
  <c r="H32" i="67"/>
  <c r="G32" i="67"/>
  <c r="F32" i="67"/>
  <c r="E32" i="67"/>
  <c r="D32" i="67"/>
  <c r="C32" i="67"/>
  <c r="K31" i="67"/>
  <c r="M31" i="67" s="1"/>
  <c r="K30" i="67"/>
  <c r="M30" i="67" s="1"/>
  <c r="K29" i="67"/>
  <c r="M29" i="67" s="1"/>
  <c r="K28" i="67"/>
  <c r="M28" i="67" s="1"/>
  <c r="K27" i="67"/>
  <c r="M27" i="67" s="1"/>
  <c r="K26" i="67"/>
  <c r="M26" i="67" s="1"/>
  <c r="K25" i="67"/>
  <c r="M25" i="67" s="1"/>
  <c r="K24" i="67"/>
  <c r="M24" i="67" s="1"/>
  <c r="K23" i="67"/>
  <c r="M23" i="67" s="1"/>
  <c r="K22" i="67"/>
  <c r="M22" i="67" s="1"/>
  <c r="K21" i="67"/>
  <c r="M21" i="67" s="1"/>
  <c r="K20" i="67"/>
  <c r="M20" i="67" s="1"/>
  <c r="K19" i="67"/>
  <c r="M19" i="67" s="1"/>
  <c r="K18" i="67"/>
  <c r="M18" i="67" s="1"/>
  <c r="K17" i="67"/>
  <c r="M17" i="67" s="1"/>
  <c r="K16" i="67"/>
  <c r="M16" i="67" s="1"/>
  <c r="K15" i="67"/>
  <c r="M15" i="67" s="1"/>
  <c r="K14" i="67"/>
  <c r="M14" i="67" s="1"/>
  <c r="K13" i="67"/>
  <c r="M13" i="67" s="1"/>
  <c r="K12" i="67"/>
  <c r="M12" i="67" s="1"/>
  <c r="K11" i="67"/>
  <c r="M11" i="67" s="1"/>
  <c r="K10" i="67"/>
  <c r="M10" i="67" s="1"/>
  <c r="K9" i="67"/>
  <c r="M9" i="67" s="1"/>
  <c r="K8" i="67"/>
  <c r="M8" i="67" s="1"/>
  <c r="K7" i="67"/>
  <c r="M7" i="67" s="1"/>
  <c r="K8" i="35"/>
  <c r="M8" i="35" s="1"/>
  <c r="K9" i="35"/>
  <c r="M9" i="35"/>
  <c r="K10" i="35"/>
  <c r="M10" i="35"/>
  <c r="K11" i="35"/>
  <c r="M11" i="35"/>
  <c r="K12" i="35"/>
  <c r="M12" i="35" s="1"/>
  <c r="K13" i="35"/>
  <c r="M13" i="35"/>
  <c r="K14" i="35"/>
  <c r="M14" i="35"/>
  <c r="K15" i="35"/>
  <c r="M15" i="35"/>
  <c r="K16" i="35"/>
  <c r="M16" i="35" s="1"/>
  <c r="K17" i="35"/>
  <c r="M17" i="35"/>
  <c r="K18" i="35"/>
  <c r="M18" i="35"/>
  <c r="K19" i="35"/>
  <c r="M19" i="35"/>
  <c r="K20" i="35"/>
  <c r="M20" i="35" s="1"/>
  <c r="K21" i="35"/>
  <c r="M21" i="35"/>
  <c r="K22" i="35"/>
  <c r="M22" i="35"/>
  <c r="K23" i="35"/>
  <c r="M23" i="35"/>
  <c r="K24" i="35"/>
  <c r="M24" i="35" s="1"/>
  <c r="K25" i="35"/>
  <c r="M25" i="35"/>
  <c r="K26" i="35"/>
  <c r="M26" i="35"/>
  <c r="K27" i="35"/>
  <c r="M27" i="35"/>
  <c r="K28" i="35"/>
  <c r="M28" i="35" s="1"/>
  <c r="K29" i="35"/>
  <c r="M29" i="35"/>
  <c r="K30" i="35"/>
  <c r="M30" i="35"/>
  <c r="K31" i="35"/>
  <c r="M31" i="35"/>
  <c r="K7" i="35"/>
  <c r="M7" i="35" s="1"/>
  <c r="K32" i="70" l="1"/>
  <c r="M32" i="69"/>
  <c r="K32" i="69"/>
  <c r="K32" i="68"/>
  <c r="M32" i="67"/>
  <c r="K32" i="67"/>
  <c r="H32" i="35" l="1"/>
  <c r="C32" i="35" l="1"/>
  <c r="D32" i="35" l="1"/>
  <c r="E32" i="35"/>
  <c r="F32" i="35"/>
  <c r="G32" i="35"/>
  <c r="J32" i="35"/>
  <c r="L32" i="35"/>
  <c r="M32" i="35"/>
  <c r="AJ8" i="20" l="1"/>
  <c r="AJ9" i="20"/>
  <c r="AJ10" i="20"/>
  <c r="AJ11" i="20"/>
  <c r="AJ12" i="20"/>
  <c r="AJ13" i="20"/>
  <c r="AJ14" i="20"/>
  <c r="AJ15" i="20"/>
  <c r="AJ16" i="20"/>
  <c r="AJ17" i="20"/>
  <c r="AJ18" i="20"/>
  <c r="AJ19" i="20"/>
  <c r="AJ20" i="20"/>
  <c r="AJ21" i="20"/>
  <c r="AJ22" i="20"/>
  <c r="AJ23" i="20"/>
  <c r="AJ24" i="20"/>
  <c r="AJ25" i="20"/>
  <c r="AJ26" i="20"/>
  <c r="AJ27" i="20"/>
  <c r="AJ28" i="20"/>
  <c r="AJ29" i="20"/>
  <c r="AJ30" i="20"/>
  <c r="AJ31" i="20"/>
  <c r="AJ32" i="20"/>
  <c r="AJ33" i="20"/>
  <c r="AJ34" i="20"/>
  <c r="AJ35" i="20"/>
  <c r="AJ36" i="20"/>
  <c r="AJ7" i="20"/>
  <c r="Y8" i="20"/>
  <c r="J8" i="22"/>
  <c r="G10" i="22"/>
  <c r="L38" i="15"/>
  <c r="Q7" i="14"/>
  <c r="S37" i="14"/>
  <c r="K32" i="35" l="1"/>
  <c r="AJ38" i="20"/>
  <c r="AD35" i="23"/>
  <c r="AD38" i="22"/>
  <c r="AD38" i="18"/>
  <c r="AE7" i="15"/>
  <c r="AE8" i="15" s="1"/>
  <c r="AE9" i="15" s="1"/>
  <c r="AE10" i="15" s="1"/>
  <c r="AE11" i="15" s="1"/>
  <c r="AE12" i="15" s="1"/>
  <c r="AE13" i="15" s="1"/>
  <c r="AE14" i="15" s="1"/>
  <c r="AE15" i="15" s="1"/>
  <c r="AE16" i="15" s="1"/>
  <c r="AE17" i="15" s="1"/>
  <c r="AE18" i="15" s="1"/>
  <c r="AE19" i="15" s="1"/>
  <c r="AE20" i="15" s="1"/>
  <c r="AE21" i="15" s="1"/>
  <c r="AE22" i="15" s="1"/>
  <c r="AE23" i="15" s="1"/>
  <c r="AE24" i="15" s="1"/>
  <c r="AE25" i="15" s="1"/>
  <c r="AE26" i="15" s="1"/>
  <c r="AE27" i="15" s="1"/>
  <c r="AE28" i="15" s="1"/>
  <c r="AE29" i="15" s="1"/>
  <c r="AE30" i="15" s="1"/>
  <c r="AE31" i="15" s="1"/>
  <c r="AE32" i="15" s="1"/>
  <c r="AE33" i="15" s="1"/>
  <c r="AE34" i="15" s="1"/>
  <c r="AE35" i="15" s="1"/>
  <c r="AE36" i="15" s="1"/>
  <c r="AE37" i="15" s="1"/>
  <c r="AD38" i="15"/>
  <c r="F38" i="24" l="1"/>
  <c r="E38" i="24"/>
  <c r="D38" i="24"/>
  <c r="AN35" i="24" l="1"/>
  <c r="AN36" i="24"/>
  <c r="AN37" i="24"/>
  <c r="I38" i="24"/>
  <c r="K38" i="24"/>
  <c r="AD38" i="24"/>
  <c r="AL35" i="24"/>
  <c r="AL36" i="24"/>
  <c r="AL37" i="24"/>
  <c r="AJ35" i="24"/>
  <c r="AJ36" i="24"/>
  <c r="AJ37" i="24"/>
  <c r="Y35" i="24"/>
  <c r="Y36" i="24"/>
  <c r="Y37" i="24"/>
  <c r="V35" i="24"/>
  <c r="V36" i="24"/>
  <c r="V37" i="24"/>
  <c r="G35" i="24"/>
  <c r="G36" i="24"/>
  <c r="G37" i="24"/>
  <c r="L35" i="24" l="1"/>
  <c r="L36" i="24"/>
  <c r="L37" i="24"/>
  <c r="AJ18" i="23" l="1"/>
  <c r="AL7" i="24"/>
  <c r="AL9" i="24"/>
  <c r="AL10" i="24"/>
  <c r="AR7" i="24" l="1"/>
  <c r="AP8" i="24"/>
  <c r="AP7" i="24"/>
  <c r="AP9" i="24"/>
  <c r="AT40" i="24" l="1"/>
  <c r="T43" i="24"/>
  <c r="T42" i="24"/>
  <c r="T44" i="24" s="1"/>
  <c r="AS13" i="23"/>
  <c r="S35" i="23"/>
  <c r="Q35" i="23"/>
  <c r="G7" i="24" l="1"/>
  <c r="AN7" i="24" l="1"/>
  <c r="AJ8" i="24"/>
  <c r="AJ7" i="24"/>
  <c r="J9" i="24"/>
  <c r="J10" i="24"/>
  <c r="J11" i="24"/>
  <c r="J12" i="24"/>
  <c r="J13" i="24"/>
  <c r="J14" i="24"/>
  <c r="J15" i="24"/>
  <c r="J16" i="24"/>
  <c r="J17" i="24"/>
  <c r="J18" i="24"/>
  <c r="J19" i="24"/>
  <c r="J20" i="24"/>
  <c r="J21" i="24"/>
  <c r="J22" i="24"/>
  <c r="J23" i="24"/>
  <c r="J24" i="24"/>
  <c r="J25" i="24"/>
  <c r="J26" i="24"/>
  <c r="J27" i="24"/>
  <c r="J28" i="24"/>
  <c r="J29" i="24"/>
  <c r="J30" i="24"/>
  <c r="J31" i="24"/>
  <c r="J32" i="24"/>
  <c r="J33" i="24"/>
  <c r="J34" i="24"/>
  <c r="J35" i="24"/>
  <c r="J36" i="24"/>
  <c r="J37" i="24"/>
  <c r="L7" i="24"/>
  <c r="J7" i="24"/>
  <c r="G6" i="23"/>
  <c r="G6" i="22"/>
  <c r="G6" i="21"/>
  <c r="G6" i="20"/>
  <c r="G6" i="18"/>
  <c r="G6" i="16"/>
  <c r="G6" i="14"/>
  <c r="G6" i="24"/>
  <c r="AF38" i="24"/>
  <c r="AC38" i="24"/>
  <c r="AB38" i="24"/>
  <c r="AA38" i="24"/>
  <c r="Z38" i="24"/>
  <c r="X38" i="24"/>
  <c r="W38" i="24"/>
  <c r="U38" i="24"/>
  <c r="T38" i="24"/>
  <c r="O38" i="24"/>
  <c r="H38" i="24"/>
  <c r="AR34" i="24"/>
  <c r="AP34" i="24"/>
  <c r="AN34" i="24"/>
  <c r="AL34" i="24"/>
  <c r="AJ34" i="24"/>
  <c r="Y34" i="24"/>
  <c r="V34" i="24"/>
  <c r="L34" i="24"/>
  <c r="G34" i="24"/>
  <c r="AR33" i="24"/>
  <c r="AP33" i="24"/>
  <c r="AS33" i="24" s="1"/>
  <c r="AN33" i="24"/>
  <c r="AL33" i="24"/>
  <c r="AJ33" i="24"/>
  <c r="Y33" i="24"/>
  <c r="V33" i="24"/>
  <c r="L33" i="24"/>
  <c r="G33" i="24"/>
  <c r="AR32" i="24"/>
  <c r="AP32" i="24"/>
  <c r="AN32" i="24"/>
  <c r="AL32" i="24"/>
  <c r="AJ32" i="24"/>
  <c r="Y32" i="24"/>
  <c r="V32" i="24"/>
  <c r="L32" i="24"/>
  <c r="G32" i="24"/>
  <c r="AR31" i="24"/>
  <c r="AP31" i="24"/>
  <c r="AN31" i="24"/>
  <c r="AL31" i="24"/>
  <c r="AJ31" i="24"/>
  <c r="Y31" i="24"/>
  <c r="V31" i="24"/>
  <c r="L31" i="24"/>
  <c r="G31" i="24"/>
  <c r="AR30" i="24"/>
  <c r="AP30" i="24"/>
  <c r="AN30" i="24"/>
  <c r="AL30" i="24"/>
  <c r="AJ30" i="24"/>
  <c r="Y30" i="24"/>
  <c r="V30" i="24"/>
  <c r="L30" i="24"/>
  <c r="G30" i="24"/>
  <c r="AR29" i="24"/>
  <c r="AP29" i="24"/>
  <c r="AN29" i="24"/>
  <c r="AL29" i="24"/>
  <c r="AJ29" i="24"/>
  <c r="Y29" i="24"/>
  <c r="V29" i="24"/>
  <c r="L29" i="24"/>
  <c r="G29" i="24"/>
  <c r="AR28" i="24"/>
  <c r="AP28" i="24"/>
  <c r="AN28" i="24"/>
  <c r="AL28" i="24"/>
  <c r="AJ28" i="24"/>
  <c r="Y28" i="24"/>
  <c r="V28" i="24"/>
  <c r="L28" i="24"/>
  <c r="G28" i="24"/>
  <c r="AR27" i="24"/>
  <c r="AP27" i="24"/>
  <c r="AN27" i="24"/>
  <c r="AL27" i="24"/>
  <c r="AJ27" i="24"/>
  <c r="Y27" i="24"/>
  <c r="V27" i="24"/>
  <c r="L27" i="24"/>
  <c r="G27" i="24"/>
  <c r="AR26" i="24"/>
  <c r="AP26" i="24"/>
  <c r="AN26" i="24"/>
  <c r="AL26" i="24"/>
  <c r="AJ26" i="24"/>
  <c r="Y26" i="24"/>
  <c r="V26" i="24"/>
  <c r="L26" i="24"/>
  <c r="G26" i="24"/>
  <c r="AR25" i="24"/>
  <c r="AP25" i="24"/>
  <c r="AN25" i="24"/>
  <c r="AL25" i="24"/>
  <c r="AJ25" i="24"/>
  <c r="Y25" i="24"/>
  <c r="V25" i="24"/>
  <c r="L25" i="24"/>
  <c r="G25" i="24"/>
  <c r="AR24" i="24"/>
  <c r="AP24" i="24"/>
  <c r="AN24" i="24"/>
  <c r="AL24" i="24"/>
  <c r="AJ24" i="24"/>
  <c r="Y24" i="24"/>
  <c r="V24" i="24"/>
  <c r="L24" i="24"/>
  <c r="G24" i="24"/>
  <c r="AR23" i="24"/>
  <c r="AP23" i="24"/>
  <c r="AN23" i="24"/>
  <c r="AL23" i="24"/>
  <c r="AJ23" i="24"/>
  <c r="Y23" i="24"/>
  <c r="V23" i="24"/>
  <c r="L23" i="24"/>
  <c r="G23" i="24"/>
  <c r="AR22" i="24"/>
  <c r="AP22" i="24"/>
  <c r="AN22" i="24"/>
  <c r="AL22" i="24"/>
  <c r="AJ22" i="24"/>
  <c r="Y22" i="24"/>
  <c r="V22" i="24"/>
  <c r="L22" i="24"/>
  <c r="G22" i="24"/>
  <c r="AR21" i="24"/>
  <c r="AP21" i="24"/>
  <c r="AS21" i="24" s="1"/>
  <c r="AN21" i="24"/>
  <c r="AL21" i="24"/>
  <c r="AJ21" i="24"/>
  <c r="Y21" i="24"/>
  <c r="V21" i="24"/>
  <c r="L21" i="24"/>
  <c r="G21" i="24"/>
  <c r="AR20" i="24"/>
  <c r="AP20" i="24"/>
  <c r="AN20" i="24"/>
  <c r="AL20" i="24"/>
  <c r="AJ20" i="24"/>
  <c r="Y20" i="24"/>
  <c r="V20" i="24"/>
  <c r="L20" i="24"/>
  <c r="G20" i="24"/>
  <c r="AR19" i="24"/>
  <c r="AP19" i="24"/>
  <c r="AN19" i="24"/>
  <c r="AL19" i="24"/>
  <c r="AJ19" i="24"/>
  <c r="Y19" i="24"/>
  <c r="V19" i="24"/>
  <c r="L19" i="24"/>
  <c r="G19" i="24"/>
  <c r="AR18" i="24"/>
  <c r="AP18" i="24"/>
  <c r="AN18" i="24"/>
  <c r="AL18" i="24"/>
  <c r="AJ18" i="24"/>
  <c r="Y18" i="24"/>
  <c r="V18" i="24"/>
  <c r="L18" i="24"/>
  <c r="G18" i="24"/>
  <c r="AR17" i="24"/>
  <c r="AP17" i="24"/>
  <c r="AS17" i="24" s="1"/>
  <c r="AN17" i="24"/>
  <c r="AL17" i="24"/>
  <c r="AJ17" i="24"/>
  <c r="Y17" i="24"/>
  <c r="V17" i="24"/>
  <c r="L17" i="24"/>
  <c r="G17" i="24"/>
  <c r="AR16" i="24"/>
  <c r="AP16" i="24"/>
  <c r="AN16" i="24"/>
  <c r="AL16" i="24"/>
  <c r="AJ16" i="24"/>
  <c r="Y16" i="24"/>
  <c r="V16" i="24"/>
  <c r="L16" i="24"/>
  <c r="G16" i="24"/>
  <c r="AR15" i="24"/>
  <c r="AP15" i="24"/>
  <c r="AN15" i="24"/>
  <c r="AL15" i="24"/>
  <c r="AJ15" i="24"/>
  <c r="Y15" i="24"/>
  <c r="V15" i="24"/>
  <c r="L15" i="24"/>
  <c r="G15" i="24"/>
  <c r="AR14" i="24"/>
  <c r="AP14" i="24"/>
  <c r="AN14" i="24"/>
  <c r="AL14" i="24"/>
  <c r="AJ14" i="24"/>
  <c r="Y14" i="24"/>
  <c r="V14" i="24"/>
  <c r="L14" i="24"/>
  <c r="G14" i="24"/>
  <c r="AR13" i="24"/>
  <c r="AP13" i="24"/>
  <c r="AS13" i="24" s="1"/>
  <c r="AN13" i="24"/>
  <c r="AL13" i="24"/>
  <c r="AJ13" i="24"/>
  <c r="Y13" i="24"/>
  <c r="V13" i="24"/>
  <c r="L13" i="24"/>
  <c r="G13" i="24"/>
  <c r="AR12" i="24"/>
  <c r="AP12" i="24"/>
  <c r="AN12" i="24"/>
  <c r="AL12" i="24"/>
  <c r="AJ12" i="24"/>
  <c r="Y12" i="24"/>
  <c r="V12" i="24"/>
  <c r="L12" i="24"/>
  <c r="G12" i="24"/>
  <c r="AR11" i="24"/>
  <c r="AP11" i="24"/>
  <c r="AN11" i="24"/>
  <c r="AL11" i="24"/>
  <c r="AJ11" i="24"/>
  <c r="Y11" i="24"/>
  <c r="V11" i="24"/>
  <c r="L11" i="24"/>
  <c r="G11" i="24"/>
  <c r="AR10" i="24"/>
  <c r="AP10" i="24"/>
  <c r="AN10" i="24"/>
  <c r="AJ10" i="24"/>
  <c r="Y10" i="24"/>
  <c r="V10" i="24"/>
  <c r="L10" i="24"/>
  <c r="G10" i="24"/>
  <c r="AR9" i="24"/>
  <c r="AS9" i="24" s="1"/>
  <c r="AN9" i="24"/>
  <c r="AJ9" i="24"/>
  <c r="Y9" i="24"/>
  <c r="V9" i="24"/>
  <c r="L9" i="24"/>
  <c r="G9" i="24"/>
  <c r="AR8" i="24"/>
  <c r="AS8" i="24" s="1"/>
  <c r="AN8" i="24"/>
  <c r="AL8" i="24"/>
  <c r="Y8" i="24"/>
  <c r="V8" i="24"/>
  <c r="L8" i="24"/>
  <c r="J8" i="24"/>
  <c r="G8" i="24"/>
  <c r="B8" i="24"/>
  <c r="AH7" i="24"/>
  <c r="AH8" i="24" s="1"/>
  <c r="AH9" i="24" s="1"/>
  <c r="AH10" i="24" s="1"/>
  <c r="AH11" i="24" s="1"/>
  <c r="AH12" i="24" s="1"/>
  <c r="AH13" i="24" s="1"/>
  <c r="AH14" i="24" s="1"/>
  <c r="AH15" i="24" s="1"/>
  <c r="AH16" i="24" s="1"/>
  <c r="AH17" i="24" s="1"/>
  <c r="AH18" i="24" s="1"/>
  <c r="AH19" i="24" s="1"/>
  <c r="AH20" i="24" s="1"/>
  <c r="AH21" i="24" s="1"/>
  <c r="AH22" i="24" s="1"/>
  <c r="AH23" i="24" s="1"/>
  <c r="AH24" i="24" s="1"/>
  <c r="AH25" i="24" s="1"/>
  <c r="AH26" i="24" s="1"/>
  <c r="AH27" i="24" s="1"/>
  <c r="AH28" i="24" s="1"/>
  <c r="AH29" i="24" s="1"/>
  <c r="AH30" i="24" s="1"/>
  <c r="AH31" i="24" s="1"/>
  <c r="AH32" i="24" s="1"/>
  <c r="AH33" i="24" s="1"/>
  <c r="AH34" i="24" s="1"/>
  <c r="AE7" i="24"/>
  <c r="AE8" i="24" s="1"/>
  <c r="AE9" i="24" s="1"/>
  <c r="AE10" i="24" s="1"/>
  <c r="AE11" i="24" s="1"/>
  <c r="AE12" i="24" s="1"/>
  <c r="AE13" i="24" s="1"/>
  <c r="AE14" i="24" s="1"/>
  <c r="AE15" i="24" s="1"/>
  <c r="AE16" i="24" s="1"/>
  <c r="AE17" i="24" s="1"/>
  <c r="AE18" i="24" s="1"/>
  <c r="AE19" i="24" s="1"/>
  <c r="AE20" i="24" s="1"/>
  <c r="AE21" i="24" s="1"/>
  <c r="AE22" i="24" s="1"/>
  <c r="AE23" i="24" s="1"/>
  <c r="AE24" i="24" s="1"/>
  <c r="AE25" i="24" s="1"/>
  <c r="AE26" i="24" s="1"/>
  <c r="AE27" i="24" s="1"/>
  <c r="AE28" i="24" s="1"/>
  <c r="AE29" i="24" s="1"/>
  <c r="AE30" i="24" s="1"/>
  <c r="AE31" i="24" s="1"/>
  <c r="AE32" i="24" s="1"/>
  <c r="AE33" i="24" s="1"/>
  <c r="AE34" i="24" s="1"/>
  <c r="AE35" i="24" s="1"/>
  <c r="AE36" i="24" s="1"/>
  <c r="AE37" i="24" s="1"/>
  <c r="Y7" i="24"/>
  <c r="V7" i="24"/>
  <c r="C7" i="24"/>
  <c r="K35" i="23"/>
  <c r="AS15" i="24" l="1"/>
  <c r="AS23" i="24"/>
  <c r="AL38" i="24"/>
  <c r="AR38" i="24"/>
  <c r="AS29" i="24"/>
  <c r="V38" i="24"/>
  <c r="Y38" i="24"/>
  <c r="L43" i="24" s="1"/>
  <c r="L45" i="24" s="1"/>
  <c r="L47" i="24" s="1"/>
  <c r="J38" i="24"/>
  <c r="L38" i="24"/>
  <c r="L42" i="24" s="1"/>
  <c r="AJ38" i="24"/>
  <c r="AN38" i="24"/>
  <c r="AS34" i="24"/>
  <c r="AS31" i="24"/>
  <c r="AS32" i="24"/>
  <c r="AS14" i="24"/>
  <c r="AS22" i="24"/>
  <c r="AS30" i="24"/>
  <c r="AS16" i="24"/>
  <c r="AS24" i="24"/>
  <c r="AS25" i="24"/>
  <c r="AS10" i="24"/>
  <c r="AS18" i="24"/>
  <c r="AS26" i="24"/>
  <c r="AS11" i="24"/>
  <c r="AS19" i="24"/>
  <c r="AS27" i="24"/>
  <c r="AS12" i="24"/>
  <c r="AS20" i="24"/>
  <c r="AS28" i="24"/>
  <c r="AP38" i="24"/>
  <c r="B9" i="24"/>
  <c r="C8" i="24"/>
  <c r="J7" i="23"/>
  <c r="G9" i="23"/>
  <c r="G8" i="23"/>
  <c r="AS38" i="24" l="1"/>
  <c r="B10" i="24"/>
  <c r="C9" i="24"/>
  <c r="F35" i="23"/>
  <c r="E35" i="23"/>
  <c r="D35" i="23"/>
  <c r="B11" i="24" l="1"/>
  <c r="C10" i="24"/>
  <c r="L33" i="21"/>
  <c r="L33" i="22"/>
  <c r="L33" i="23"/>
  <c r="AM35" i="21"/>
  <c r="AM35" i="19"/>
  <c r="AM35" i="23"/>
  <c r="AN7" i="23"/>
  <c r="AL7" i="23"/>
  <c r="AJ7" i="23"/>
  <c r="B12" i="24" l="1"/>
  <c r="C11" i="24"/>
  <c r="L7" i="23"/>
  <c r="J7" i="22"/>
  <c r="T40" i="23"/>
  <c r="T39" i="23"/>
  <c r="AT37" i="23"/>
  <c r="AF35" i="23"/>
  <c r="AC35" i="23"/>
  <c r="AB35" i="23"/>
  <c r="AA35" i="23"/>
  <c r="Z35" i="23"/>
  <c r="X35" i="23"/>
  <c r="W35" i="23"/>
  <c r="U35" i="23"/>
  <c r="T35" i="23"/>
  <c r="O35" i="23"/>
  <c r="I35" i="23"/>
  <c r="H35" i="23"/>
  <c r="AN34" i="23"/>
  <c r="AL34" i="23"/>
  <c r="AJ34" i="23"/>
  <c r="Y34" i="23"/>
  <c r="V34" i="23"/>
  <c r="L34" i="23"/>
  <c r="J34" i="23"/>
  <c r="G34" i="23"/>
  <c r="AN33" i="23"/>
  <c r="AL33" i="23"/>
  <c r="AJ33" i="23"/>
  <c r="Y33" i="23"/>
  <c r="V33" i="23"/>
  <c r="J33" i="23"/>
  <c r="G33" i="23"/>
  <c r="AN32" i="23"/>
  <c r="AL32" i="23"/>
  <c r="AJ32" i="23"/>
  <c r="Y32" i="23"/>
  <c r="V32" i="23"/>
  <c r="L32" i="23"/>
  <c r="J32" i="23"/>
  <c r="G32" i="23"/>
  <c r="AS31" i="23"/>
  <c r="AN31" i="23"/>
  <c r="AL31" i="23"/>
  <c r="AJ31" i="23"/>
  <c r="Y31" i="23"/>
  <c r="V31" i="23"/>
  <c r="L31" i="23"/>
  <c r="J31" i="23"/>
  <c r="G31" i="23"/>
  <c r="AS30" i="23"/>
  <c r="AN30" i="23"/>
  <c r="AL30" i="23"/>
  <c r="AJ30" i="23"/>
  <c r="Y30" i="23"/>
  <c r="V30" i="23"/>
  <c r="L30" i="23"/>
  <c r="J30" i="23"/>
  <c r="G30" i="23"/>
  <c r="AS29" i="23"/>
  <c r="AN29" i="23"/>
  <c r="AL29" i="23"/>
  <c r="AJ29" i="23"/>
  <c r="Y29" i="23"/>
  <c r="V29" i="23"/>
  <c r="L29" i="23"/>
  <c r="J29" i="23"/>
  <c r="G29" i="23"/>
  <c r="AS28" i="23"/>
  <c r="AN28" i="23"/>
  <c r="AL28" i="23"/>
  <c r="AJ28" i="23"/>
  <c r="Y28" i="23"/>
  <c r="V28" i="23"/>
  <c r="L28" i="23"/>
  <c r="J28" i="23"/>
  <c r="G28" i="23"/>
  <c r="AS27" i="23"/>
  <c r="AN27" i="23"/>
  <c r="AL27" i="23"/>
  <c r="AJ27" i="23"/>
  <c r="Y27" i="23"/>
  <c r="V27" i="23"/>
  <c r="L27" i="23"/>
  <c r="J27" i="23"/>
  <c r="G27" i="23"/>
  <c r="AN26" i="23"/>
  <c r="AL26" i="23"/>
  <c r="AJ26" i="23"/>
  <c r="Y26" i="23"/>
  <c r="V26" i="23"/>
  <c r="L26" i="23"/>
  <c r="J26" i="23"/>
  <c r="G26" i="23"/>
  <c r="AS25" i="23"/>
  <c r="AN25" i="23"/>
  <c r="AL25" i="23"/>
  <c r="AJ25" i="23"/>
  <c r="Y25" i="23"/>
  <c r="V25" i="23"/>
  <c r="L25" i="23"/>
  <c r="J25" i="23"/>
  <c r="G25" i="23"/>
  <c r="AS24" i="23"/>
  <c r="AN24" i="23"/>
  <c r="AL24" i="23"/>
  <c r="AJ24" i="23"/>
  <c r="Y24" i="23"/>
  <c r="V24" i="23"/>
  <c r="L24" i="23"/>
  <c r="J24" i="23"/>
  <c r="G24" i="23"/>
  <c r="AS23" i="23"/>
  <c r="AN23" i="23"/>
  <c r="AL23" i="23"/>
  <c r="AJ23" i="23"/>
  <c r="Y23" i="23"/>
  <c r="V23" i="23"/>
  <c r="L23" i="23"/>
  <c r="J23" i="23"/>
  <c r="G23" i="23"/>
  <c r="AN22" i="23"/>
  <c r="AL22" i="23"/>
  <c r="AJ22" i="23"/>
  <c r="Y22" i="23"/>
  <c r="V22" i="23"/>
  <c r="L22" i="23"/>
  <c r="J22" i="23"/>
  <c r="G22" i="23"/>
  <c r="AN21" i="23"/>
  <c r="AL21" i="23"/>
  <c r="AJ21" i="23"/>
  <c r="Y21" i="23"/>
  <c r="V21" i="23"/>
  <c r="L21" i="23"/>
  <c r="J21" i="23"/>
  <c r="G21" i="23"/>
  <c r="AN20" i="23"/>
  <c r="AL20" i="23"/>
  <c r="AJ20" i="23"/>
  <c r="Y20" i="23"/>
  <c r="V20" i="23"/>
  <c r="L20" i="23"/>
  <c r="J20" i="23"/>
  <c r="G20" i="23"/>
  <c r="AN19" i="23"/>
  <c r="AL19" i="23"/>
  <c r="AJ19" i="23"/>
  <c r="Y19" i="23"/>
  <c r="V19" i="23"/>
  <c r="L19" i="23"/>
  <c r="J19" i="23"/>
  <c r="G19" i="23"/>
  <c r="AN18" i="23"/>
  <c r="AL18" i="23"/>
  <c r="Y18" i="23"/>
  <c r="V18" i="23"/>
  <c r="L18" i="23"/>
  <c r="J18" i="23"/>
  <c r="G18" i="23"/>
  <c r="AN17" i="23"/>
  <c r="AL17" i="23"/>
  <c r="AJ17" i="23"/>
  <c r="Y17" i="23"/>
  <c r="V17" i="23"/>
  <c r="L17" i="23"/>
  <c r="J17" i="23"/>
  <c r="G17" i="23"/>
  <c r="AN16" i="23"/>
  <c r="AL16" i="23"/>
  <c r="AJ16" i="23"/>
  <c r="Y16" i="23"/>
  <c r="V16" i="23"/>
  <c r="L16" i="23"/>
  <c r="J16" i="23"/>
  <c r="G16" i="23"/>
  <c r="AN15" i="23"/>
  <c r="AL15" i="23"/>
  <c r="AJ15" i="23"/>
  <c r="Y15" i="23"/>
  <c r="V15" i="23"/>
  <c r="L15" i="23"/>
  <c r="J15" i="23"/>
  <c r="G15" i="23"/>
  <c r="AN14" i="23"/>
  <c r="AL14" i="23"/>
  <c r="AJ14" i="23"/>
  <c r="Y14" i="23"/>
  <c r="V14" i="23"/>
  <c r="L14" i="23"/>
  <c r="J14" i="23"/>
  <c r="G14" i="23"/>
  <c r="AN13" i="23"/>
  <c r="AL13" i="23"/>
  <c r="AJ13" i="23"/>
  <c r="Y13" i="23"/>
  <c r="V13" i="23"/>
  <c r="L13" i="23"/>
  <c r="J13" i="23"/>
  <c r="G13" i="23"/>
  <c r="AS12" i="23"/>
  <c r="AN12" i="23"/>
  <c r="AL12" i="23"/>
  <c r="AJ12" i="23"/>
  <c r="Y12" i="23"/>
  <c r="V12" i="23"/>
  <c r="L12" i="23"/>
  <c r="J12" i="23"/>
  <c r="G12" i="23"/>
  <c r="AN11" i="23"/>
  <c r="AL11" i="23"/>
  <c r="AJ11" i="23"/>
  <c r="Y11" i="23"/>
  <c r="V11" i="23"/>
  <c r="L11" i="23"/>
  <c r="J11" i="23"/>
  <c r="G11" i="23"/>
  <c r="AN10" i="23"/>
  <c r="AL10" i="23"/>
  <c r="AJ10" i="23"/>
  <c r="Y10" i="23"/>
  <c r="V10" i="23"/>
  <c r="L10" i="23"/>
  <c r="J10" i="23"/>
  <c r="G10" i="23"/>
  <c r="AN9" i="23"/>
  <c r="AL9" i="23"/>
  <c r="AJ9" i="23"/>
  <c r="Y9" i="23"/>
  <c r="V9" i="23"/>
  <c r="L9" i="23"/>
  <c r="J9" i="23"/>
  <c r="AN8" i="23"/>
  <c r="AL8" i="23"/>
  <c r="AJ8" i="23"/>
  <c r="Y8" i="23"/>
  <c r="V8" i="23"/>
  <c r="L8" i="23"/>
  <c r="J8" i="23"/>
  <c r="B8" i="23"/>
  <c r="C8" i="23" s="1"/>
  <c r="AH7" i="23"/>
  <c r="AH8" i="23" s="1"/>
  <c r="AH9" i="23" s="1"/>
  <c r="AH10" i="23" s="1"/>
  <c r="AH11" i="23" s="1"/>
  <c r="AH12" i="23" s="1"/>
  <c r="AH13" i="23" s="1"/>
  <c r="AH14" i="23" s="1"/>
  <c r="AH15" i="23" s="1"/>
  <c r="AH16" i="23" s="1"/>
  <c r="AH17" i="23" s="1"/>
  <c r="AH18" i="23" s="1"/>
  <c r="AH19" i="23" s="1"/>
  <c r="AH20" i="23" s="1"/>
  <c r="AH21" i="23" s="1"/>
  <c r="AH22" i="23" s="1"/>
  <c r="AH23" i="23" s="1"/>
  <c r="AH24" i="23" s="1"/>
  <c r="AH25" i="23" s="1"/>
  <c r="AH26" i="23" s="1"/>
  <c r="AH27" i="23" s="1"/>
  <c r="AH28" i="23" s="1"/>
  <c r="AH29" i="23" s="1"/>
  <c r="AH30" i="23" s="1"/>
  <c r="AH31" i="23" s="1"/>
  <c r="AH32" i="23" s="1"/>
  <c r="AH33" i="23" s="1"/>
  <c r="AH34" i="23" s="1"/>
  <c r="AE7" i="23"/>
  <c r="AE8" i="23" s="1"/>
  <c r="AE9" i="23" s="1"/>
  <c r="AE10" i="23" s="1"/>
  <c r="AE11" i="23" s="1"/>
  <c r="AE12" i="23" s="1"/>
  <c r="AE13" i="23" s="1"/>
  <c r="AE14" i="23" s="1"/>
  <c r="AE15" i="23" s="1"/>
  <c r="AE16" i="23" s="1"/>
  <c r="AE17" i="23" s="1"/>
  <c r="AE18" i="23" s="1"/>
  <c r="AE19" i="23" s="1"/>
  <c r="AE20" i="23" s="1"/>
  <c r="AE21" i="23" s="1"/>
  <c r="AE22" i="23" s="1"/>
  <c r="AE23" i="23" s="1"/>
  <c r="AE24" i="23" s="1"/>
  <c r="AE25" i="23" s="1"/>
  <c r="AE26" i="23" s="1"/>
  <c r="AE27" i="23" s="1"/>
  <c r="AE28" i="23" s="1"/>
  <c r="AE29" i="23" s="1"/>
  <c r="AE30" i="23" s="1"/>
  <c r="AE31" i="23" s="1"/>
  <c r="AE32" i="23" s="1"/>
  <c r="AE33" i="23" s="1"/>
  <c r="AE34" i="23" s="1"/>
  <c r="Y7" i="23"/>
  <c r="V7" i="23"/>
  <c r="G7" i="23"/>
  <c r="C7" i="23"/>
  <c r="T41" i="23" l="1"/>
  <c r="J35" i="23"/>
  <c r="B13" i="24"/>
  <c r="C12" i="24"/>
  <c r="AS26" i="23"/>
  <c r="AL35" i="23"/>
  <c r="AS33" i="23"/>
  <c r="AS11" i="23"/>
  <c r="AJ35" i="23"/>
  <c r="AS34" i="23"/>
  <c r="AS32" i="23"/>
  <c r="Y35" i="23"/>
  <c r="L40" i="23" s="1"/>
  <c r="L42" i="23" s="1"/>
  <c r="L44" i="23" s="1"/>
  <c r="L35" i="23"/>
  <c r="L39" i="23" s="1"/>
  <c r="V35" i="23"/>
  <c r="AN35" i="23"/>
  <c r="B9" i="23"/>
  <c r="F12" i="19"/>
  <c r="D12" i="19"/>
  <c r="AS35" i="23" l="1"/>
  <c r="B14" i="24"/>
  <c r="C13" i="24"/>
  <c r="C9" i="23"/>
  <c r="B10" i="23"/>
  <c r="AL32" i="22"/>
  <c r="AM38" i="22"/>
  <c r="AN7" i="22"/>
  <c r="AL7" i="22"/>
  <c r="AJ7" i="22"/>
  <c r="L32" i="22"/>
  <c r="L34" i="22"/>
  <c r="L35" i="22"/>
  <c r="L36" i="22"/>
  <c r="L37" i="22"/>
  <c r="B15" i="24" l="1"/>
  <c r="C14" i="24"/>
  <c r="B11" i="23"/>
  <c r="C10" i="23"/>
  <c r="L31" i="22"/>
  <c r="L30" i="22"/>
  <c r="B16" i="24" l="1"/>
  <c r="C15" i="24"/>
  <c r="B12" i="23"/>
  <c r="C11" i="23"/>
  <c r="J31" i="22"/>
  <c r="J30" i="22"/>
  <c r="L29" i="22"/>
  <c r="L28" i="22"/>
  <c r="B17" i="24" l="1"/>
  <c r="C16" i="24"/>
  <c r="C12" i="23"/>
  <c r="B13" i="23"/>
  <c r="O38" i="22"/>
  <c r="L26" i="22"/>
  <c r="L22" i="22"/>
  <c r="L7" i="22"/>
  <c r="J15" i="22"/>
  <c r="J10" i="22"/>
  <c r="J11" i="22"/>
  <c r="J12" i="22"/>
  <c r="J13" i="22"/>
  <c r="J16" i="22"/>
  <c r="J17" i="22"/>
  <c r="J18" i="22"/>
  <c r="J19" i="22"/>
  <c r="J20" i="22"/>
  <c r="J21" i="22"/>
  <c r="J22" i="22"/>
  <c r="J23" i="22"/>
  <c r="J24" i="22"/>
  <c r="J25" i="22"/>
  <c r="J26" i="22"/>
  <c r="J32" i="22"/>
  <c r="J33" i="22"/>
  <c r="J34" i="22"/>
  <c r="J35" i="22"/>
  <c r="J36" i="22"/>
  <c r="J37" i="22"/>
  <c r="J9" i="22"/>
  <c r="T43" i="22"/>
  <c r="T42" i="22"/>
  <c r="AT40" i="22"/>
  <c r="AC38" i="22"/>
  <c r="AB38" i="22"/>
  <c r="AA38" i="22"/>
  <c r="Z38" i="22"/>
  <c r="X38" i="22"/>
  <c r="W38" i="22"/>
  <c r="U38" i="22"/>
  <c r="T38" i="22"/>
  <c r="H38" i="22"/>
  <c r="AN37" i="22"/>
  <c r="AL37" i="22"/>
  <c r="AJ37" i="22"/>
  <c r="Y37" i="22"/>
  <c r="V37" i="22"/>
  <c r="G37" i="22"/>
  <c r="AR36" i="22"/>
  <c r="AP36" i="22"/>
  <c r="AS36" i="22" s="1"/>
  <c r="AN36" i="22"/>
  <c r="AL36" i="22"/>
  <c r="AJ36" i="22"/>
  <c r="Y36" i="22"/>
  <c r="V36" i="22"/>
  <c r="G36" i="22"/>
  <c r="AR35" i="22"/>
  <c r="AP35" i="22"/>
  <c r="AN35" i="22"/>
  <c r="AL35" i="22"/>
  <c r="AJ35" i="22"/>
  <c r="Y35" i="22"/>
  <c r="V35" i="22"/>
  <c r="G35" i="22"/>
  <c r="AR34" i="22"/>
  <c r="AP34" i="22"/>
  <c r="AS34" i="22" s="1"/>
  <c r="AN34" i="22"/>
  <c r="AL34" i="22"/>
  <c r="AJ34" i="22"/>
  <c r="Y34" i="22"/>
  <c r="V34" i="22"/>
  <c r="G34" i="22"/>
  <c r="AR33" i="22"/>
  <c r="AP33" i="22"/>
  <c r="AS33" i="22" s="1"/>
  <c r="AN33" i="22"/>
  <c r="AL33" i="22"/>
  <c r="AJ33" i="22"/>
  <c r="Y33" i="22"/>
  <c r="V33" i="22"/>
  <c r="G33" i="22"/>
  <c r="AR32" i="22"/>
  <c r="AP32" i="22"/>
  <c r="AN32" i="22"/>
  <c r="AJ32" i="22"/>
  <c r="Y32" i="22"/>
  <c r="V32" i="22"/>
  <c r="G32" i="22"/>
  <c r="AR31" i="22"/>
  <c r="AP31" i="22"/>
  <c r="AN31" i="22"/>
  <c r="AL31" i="22"/>
  <c r="AJ31" i="22"/>
  <c r="Y31" i="22"/>
  <c r="V31" i="22"/>
  <c r="G31" i="22"/>
  <c r="AR30" i="22"/>
  <c r="AP30" i="22"/>
  <c r="AN30" i="22"/>
  <c r="AL30" i="22"/>
  <c r="AJ30" i="22"/>
  <c r="Y30" i="22"/>
  <c r="V30" i="22"/>
  <c r="G30" i="22"/>
  <c r="AR29" i="22"/>
  <c r="AP29" i="22"/>
  <c r="AN29" i="22"/>
  <c r="AL29" i="22"/>
  <c r="AJ29" i="22"/>
  <c r="Y29" i="22"/>
  <c r="V29" i="22"/>
  <c r="G29" i="22"/>
  <c r="AR28" i="22"/>
  <c r="AP28" i="22"/>
  <c r="AN28" i="22"/>
  <c r="AL28" i="22"/>
  <c r="AJ28" i="22"/>
  <c r="Y28" i="22"/>
  <c r="V28" i="22"/>
  <c r="G28" i="22"/>
  <c r="AR27" i="22"/>
  <c r="AP27" i="22"/>
  <c r="AN27" i="22"/>
  <c r="AL27" i="22"/>
  <c r="AJ27" i="22"/>
  <c r="Y27" i="22"/>
  <c r="V27" i="22"/>
  <c r="G27" i="22"/>
  <c r="AR26" i="22"/>
  <c r="AP26" i="22"/>
  <c r="AN26" i="22"/>
  <c r="AL26" i="22"/>
  <c r="AJ26" i="22"/>
  <c r="Y26" i="22"/>
  <c r="V26" i="22"/>
  <c r="G26" i="22"/>
  <c r="AR25" i="22"/>
  <c r="AP25" i="22"/>
  <c r="AN25" i="22"/>
  <c r="AL25" i="22"/>
  <c r="AJ25" i="22"/>
  <c r="Y25" i="22"/>
  <c r="V25" i="22"/>
  <c r="G25" i="22"/>
  <c r="AR24" i="22"/>
  <c r="AP24" i="22"/>
  <c r="AN24" i="22"/>
  <c r="AL24" i="22"/>
  <c r="AJ24" i="22"/>
  <c r="Y24" i="22"/>
  <c r="V24" i="22"/>
  <c r="L24" i="22"/>
  <c r="G24" i="22"/>
  <c r="AR23" i="22"/>
  <c r="AP23" i="22"/>
  <c r="AS23" i="22" s="1"/>
  <c r="AN23" i="22"/>
  <c r="AL23" i="22"/>
  <c r="AJ23" i="22"/>
  <c r="Y23" i="22"/>
  <c r="V23" i="22"/>
  <c r="L23" i="22"/>
  <c r="G23" i="22"/>
  <c r="AR22" i="22"/>
  <c r="AP22" i="22"/>
  <c r="AN22" i="22"/>
  <c r="AL22" i="22"/>
  <c r="AJ22" i="22"/>
  <c r="Y22" i="22"/>
  <c r="V22" i="22"/>
  <c r="G22" i="22"/>
  <c r="AR21" i="22"/>
  <c r="AP21" i="22"/>
  <c r="AN21" i="22"/>
  <c r="AL21" i="22"/>
  <c r="AJ21" i="22"/>
  <c r="Y21" i="22"/>
  <c r="V21" i="22"/>
  <c r="L21" i="22"/>
  <c r="G21" i="22"/>
  <c r="AR20" i="22"/>
  <c r="AP20" i="22"/>
  <c r="AN20" i="22"/>
  <c r="AL20" i="22"/>
  <c r="AJ20" i="22"/>
  <c r="Y20" i="22"/>
  <c r="V20" i="22"/>
  <c r="L20" i="22"/>
  <c r="G20" i="22"/>
  <c r="AR19" i="22"/>
  <c r="AP19" i="22"/>
  <c r="AN19" i="22"/>
  <c r="AL19" i="22"/>
  <c r="AJ19" i="22"/>
  <c r="Y19" i="22"/>
  <c r="V19" i="22"/>
  <c r="L19" i="22"/>
  <c r="G19" i="22"/>
  <c r="AR18" i="22"/>
  <c r="AP18" i="22"/>
  <c r="AN18" i="22"/>
  <c r="AL18" i="22"/>
  <c r="AJ18" i="22"/>
  <c r="Y18" i="22"/>
  <c r="V18" i="22"/>
  <c r="L18" i="22"/>
  <c r="G18" i="22"/>
  <c r="AR17" i="22"/>
  <c r="AP17" i="22"/>
  <c r="AN17" i="22"/>
  <c r="AL17" i="22"/>
  <c r="AJ17" i="22"/>
  <c r="Y17" i="22"/>
  <c r="V17" i="22"/>
  <c r="L17" i="22"/>
  <c r="G17" i="22"/>
  <c r="AR16" i="22"/>
  <c r="AP16" i="22"/>
  <c r="AN16" i="22"/>
  <c r="AL16" i="22"/>
  <c r="AJ16" i="22"/>
  <c r="Y16" i="22"/>
  <c r="V16" i="22"/>
  <c r="L16" i="22"/>
  <c r="G16" i="22"/>
  <c r="AR15" i="22"/>
  <c r="AP15" i="22"/>
  <c r="AN15" i="22"/>
  <c r="AL15" i="22"/>
  <c r="AJ15" i="22"/>
  <c r="Y15" i="22"/>
  <c r="V15" i="22"/>
  <c r="L15" i="22"/>
  <c r="G15" i="22"/>
  <c r="AR14" i="22"/>
  <c r="AP14" i="22"/>
  <c r="AS14" i="22" s="1"/>
  <c r="AN14" i="22"/>
  <c r="AL14" i="22"/>
  <c r="AJ14" i="22"/>
  <c r="Y14" i="22"/>
  <c r="V14" i="22"/>
  <c r="L14" i="22"/>
  <c r="G14" i="22"/>
  <c r="AR13" i="22"/>
  <c r="AP13" i="22"/>
  <c r="AN13" i="22"/>
  <c r="AL13" i="22"/>
  <c r="AJ13" i="22"/>
  <c r="Y13" i="22"/>
  <c r="V13" i="22"/>
  <c r="G13" i="22"/>
  <c r="AR12" i="22"/>
  <c r="AP12" i="22"/>
  <c r="AN12" i="22"/>
  <c r="AL12" i="22"/>
  <c r="AJ12" i="22"/>
  <c r="Y12" i="22"/>
  <c r="V12" i="22"/>
  <c r="G12" i="22"/>
  <c r="AR11" i="22"/>
  <c r="AP11" i="22"/>
  <c r="AN11" i="22"/>
  <c r="AL11" i="22"/>
  <c r="AJ11" i="22"/>
  <c r="Y11" i="22"/>
  <c r="V11" i="22"/>
  <c r="G11" i="22"/>
  <c r="AR10" i="22"/>
  <c r="AP10" i="22"/>
  <c r="AN10" i="22"/>
  <c r="AL10" i="22"/>
  <c r="AJ10" i="22"/>
  <c r="Y10" i="22"/>
  <c r="V10" i="22"/>
  <c r="AR9" i="22"/>
  <c r="AP9" i="22"/>
  <c r="AN9" i="22"/>
  <c r="AL9" i="22"/>
  <c r="AJ9" i="22"/>
  <c r="Y9" i="22"/>
  <c r="V9" i="22"/>
  <c r="G9" i="22"/>
  <c r="AR8" i="22"/>
  <c r="AP8" i="22"/>
  <c r="AN8" i="22"/>
  <c r="AL8" i="22"/>
  <c r="AJ8" i="22"/>
  <c r="Y8" i="22"/>
  <c r="V8" i="22"/>
  <c r="L8" i="22"/>
  <c r="G8" i="22"/>
  <c r="B8" i="22"/>
  <c r="B9" i="22" s="1"/>
  <c r="AR7" i="22"/>
  <c r="AP7" i="22"/>
  <c r="AH7" i="22"/>
  <c r="AH8" i="22" s="1"/>
  <c r="AH9" i="22" s="1"/>
  <c r="AH10" i="22" s="1"/>
  <c r="AH11" i="22" s="1"/>
  <c r="AH12" i="22" s="1"/>
  <c r="AH13" i="22" s="1"/>
  <c r="AH14" i="22" s="1"/>
  <c r="AH15" i="22" s="1"/>
  <c r="AH16" i="22" s="1"/>
  <c r="AH17" i="22" s="1"/>
  <c r="AH18" i="22" s="1"/>
  <c r="AH19" i="22" s="1"/>
  <c r="AH20" i="22" s="1"/>
  <c r="AH21" i="22" s="1"/>
  <c r="AH22" i="22" s="1"/>
  <c r="AH23" i="22" s="1"/>
  <c r="AH24" i="22" s="1"/>
  <c r="AH25" i="22" s="1"/>
  <c r="AH26" i="22" s="1"/>
  <c r="AH27" i="22" s="1"/>
  <c r="AH28" i="22" s="1"/>
  <c r="AH29" i="22" s="1"/>
  <c r="AH30" i="22" s="1"/>
  <c r="AH31" i="22" s="1"/>
  <c r="AH32" i="22" s="1"/>
  <c r="AH33" i="22" s="1"/>
  <c r="AH34" i="22" s="1"/>
  <c r="AH35" i="22" s="1"/>
  <c r="AH36" i="22" s="1"/>
  <c r="AF38" i="22"/>
  <c r="AE7" i="22"/>
  <c r="AE8" i="22" s="1"/>
  <c r="AE9" i="22" s="1"/>
  <c r="AE10" i="22" s="1"/>
  <c r="AE11" i="22" s="1"/>
  <c r="AE12" i="22" s="1"/>
  <c r="AE13" i="22" s="1"/>
  <c r="AE14" i="22" s="1"/>
  <c r="AE15" i="22" s="1"/>
  <c r="AE16" i="22" s="1"/>
  <c r="AE17" i="22" s="1"/>
  <c r="AE18" i="22" s="1"/>
  <c r="AE19" i="22" s="1"/>
  <c r="AE20" i="22" s="1"/>
  <c r="AE21" i="22" s="1"/>
  <c r="AE22" i="22" s="1"/>
  <c r="AE23" i="22" s="1"/>
  <c r="AE24" i="22" s="1"/>
  <c r="AE25" i="22" s="1"/>
  <c r="AE26" i="22" s="1"/>
  <c r="AE27" i="22" s="1"/>
  <c r="AE28" i="22" s="1"/>
  <c r="AE29" i="22" s="1"/>
  <c r="AE30" i="22" s="1"/>
  <c r="AE31" i="22" s="1"/>
  <c r="AE32" i="22" s="1"/>
  <c r="AE33" i="22" s="1"/>
  <c r="AE34" i="22" s="1"/>
  <c r="AE35" i="22" s="1"/>
  <c r="AE36" i="22" s="1"/>
  <c r="AE37" i="22" s="1"/>
  <c r="AE38" i="22" s="1"/>
  <c r="Y7" i="22"/>
  <c r="V7" i="22"/>
  <c r="G7" i="22"/>
  <c r="C7" i="22"/>
  <c r="AI2" i="22"/>
  <c r="AJ2" i="22" s="1"/>
  <c r="AS16" i="22" l="1"/>
  <c r="T44" i="22"/>
  <c r="AS18" i="22"/>
  <c r="AS20" i="22"/>
  <c r="AR38" i="22"/>
  <c r="AS10" i="22"/>
  <c r="AS11" i="22"/>
  <c r="AS12" i="22"/>
  <c r="AS13" i="22"/>
  <c r="AS22" i="22"/>
  <c r="V38" i="22"/>
  <c r="AS15" i="22"/>
  <c r="AS25" i="22"/>
  <c r="AS26" i="22"/>
  <c r="AS27" i="22"/>
  <c r="AS29" i="22"/>
  <c r="AS30" i="22"/>
  <c r="AS31" i="22"/>
  <c r="B18" i="24"/>
  <c r="C17" i="24"/>
  <c r="AS7" i="22"/>
  <c r="AP38" i="22"/>
  <c r="AS8" i="22"/>
  <c r="AS9" i="22"/>
  <c r="AS17" i="22"/>
  <c r="AS19" i="22"/>
  <c r="AS21" i="22"/>
  <c r="AS24" i="22"/>
  <c r="AS28" i="22"/>
  <c r="AS32" i="22"/>
  <c r="AS35" i="22"/>
  <c r="B14" i="23"/>
  <c r="C13" i="23"/>
  <c r="AL38" i="22"/>
  <c r="AJ38" i="22"/>
  <c r="AN38" i="22"/>
  <c r="Y38" i="22"/>
  <c r="L43" i="22" s="1"/>
  <c r="L45" i="22" s="1"/>
  <c r="L47" i="22" s="1"/>
  <c r="L27" i="22"/>
  <c r="L13" i="22"/>
  <c r="L12" i="22"/>
  <c r="J28" i="22"/>
  <c r="J29" i="22"/>
  <c r="J27" i="22"/>
  <c r="J14" i="22"/>
  <c r="I38" i="22"/>
  <c r="C8" i="22"/>
  <c r="C9" i="22"/>
  <c r="B10" i="22"/>
  <c r="L11" i="22"/>
  <c r="L9" i="22"/>
  <c r="L25" i="22"/>
  <c r="AK40" i="21"/>
  <c r="AI40" i="21"/>
  <c r="AT40" i="21" s="1"/>
  <c r="B19" i="24" l="1"/>
  <c r="C18" i="24"/>
  <c r="AS38" i="22"/>
  <c r="B15" i="23"/>
  <c r="C14" i="23"/>
  <c r="J38" i="22"/>
  <c r="L38" i="22"/>
  <c r="C10" i="22"/>
  <c r="B11" i="22"/>
  <c r="B20" i="24" l="1"/>
  <c r="C19" i="24"/>
  <c r="C15" i="23"/>
  <c r="B16" i="23"/>
  <c r="L42" i="22"/>
  <c r="C11" i="22"/>
  <c r="B12" i="22"/>
  <c r="G8" i="19"/>
  <c r="G7" i="19"/>
  <c r="G6" i="19"/>
  <c r="E8" i="19"/>
  <c r="E7" i="19"/>
  <c r="E6" i="19"/>
  <c r="F11" i="19"/>
  <c r="D11" i="19"/>
  <c r="F10" i="19"/>
  <c r="D10" i="19"/>
  <c r="F9" i="19"/>
  <c r="G9" i="19" s="1"/>
  <c r="D9" i="19"/>
  <c r="E9" i="19" s="1"/>
  <c r="AF11" i="21"/>
  <c r="AF9" i="21"/>
  <c r="AF8" i="21"/>
  <c r="AF7" i="21"/>
  <c r="AI2" i="21"/>
  <c r="AJ2" i="21" s="1"/>
  <c r="O38" i="21"/>
  <c r="O39" i="21" s="1"/>
  <c r="AN19" i="21"/>
  <c r="AN20" i="21"/>
  <c r="AN21" i="21"/>
  <c r="AN22" i="21"/>
  <c r="AN23" i="21"/>
  <c r="AN24" i="21"/>
  <c r="AN25" i="21"/>
  <c r="AN26" i="21"/>
  <c r="AN27" i="21"/>
  <c r="AN28" i="21"/>
  <c r="AN29" i="21"/>
  <c r="AN30" i="21"/>
  <c r="AN31" i="21"/>
  <c r="AN32" i="21"/>
  <c r="AN33" i="21"/>
  <c r="AN34" i="21"/>
  <c r="AN35" i="21"/>
  <c r="AN36" i="21"/>
  <c r="AN37" i="21"/>
  <c r="AN9" i="21"/>
  <c r="AN10" i="21"/>
  <c r="AN11" i="21"/>
  <c r="AN12" i="21"/>
  <c r="AN13" i="21"/>
  <c r="AN14" i="21"/>
  <c r="AN15" i="21"/>
  <c r="AN16" i="21"/>
  <c r="AN17" i="21"/>
  <c r="AN18" i="21"/>
  <c r="AN8" i="21"/>
  <c r="AN7" i="21"/>
  <c r="AL35" i="21"/>
  <c r="AL30" i="21"/>
  <c r="AL28" i="21"/>
  <c r="AL23" i="21"/>
  <c r="AL24" i="21"/>
  <c r="AL25" i="21"/>
  <c r="AL26" i="21"/>
  <c r="AL27" i="21"/>
  <c r="AL31" i="21"/>
  <c r="AL32" i="21"/>
  <c r="AL33" i="21"/>
  <c r="AL34" i="21"/>
  <c r="AL22" i="21"/>
  <c r="AL21" i="21"/>
  <c r="AL20" i="21"/>
  <c r="AL19" i="21"/>
  <c r="AL18" i="21"/>
  <c r="AL17" i="21"/>
  <c r="AL16" i="21"/>
  <c r="AL15" i="21"/>
  <c r="AL14" i="21"/>
  <c r="AL13" i="21"/>
  <c r="AL12" i="21"/>
  <c r="AL11" i="21"/>
  <c r="AL9" i="21"/>
  <c r="AL8" i="21"/>
  <c r="AT24" i="20"/>
  <c r="AT25" i="20"/>
  <c r="AT26" i="20"/>
  <c r="AT27" i="20"/>
  <c r="AT28" i="20"/>
  <c r="AT29" i="20"/>
  <c r="AT30" i="20"/>
  <c r="AT31" i="20"/>
  <c r="AT32" i="20"/>
  <c r="AT33" i="20"/>
  <c r="AT35" i="20"/>
  <c r="AT36" i="20"/>
  <c r="AT17" i="20"/>
  <c r="AT16" i="20"/>
  <c r="AT15" i="20"/>
  <c r="AT14" i="20"/>
  <c r="AT13" i="20"/>
  <c r="AT9" i="20"/>
  <c r="AT8" i="20"/>
  <c r="AT7" i="20"/>
  <c r="AL7" i="21"/>
  <c r="AR36" i="20"/>
  <c r="AR35" i="20"/>
  <c r="AR34" i="20"/>
  <c r="AR33" i="20"/>
  <c r="AR32" i="20"/>
  <c r="AR31" i="20"/>
  <c r="AR30" i="20"/>
  <c r="AR29" i="20"/>
  <c r="AR28" i="20"/>
  <c r="AR27" i="20"/>
  <c r="AR26" i="20"/>
  <c r="AR25" i="20"/>
  <c r="AR24" i="20"/>
  <c r="AR23" i="20"/>
  <c r="AR22" i="20"/>
  <c r="AR21" i="20"/>
  <c r="AR20" i="20"/>
  <c r="AR19" i="20"/>
  <c r="AR18" i="20"/>
  <c r="AR17" i="20"/>
  <c r="AR16" i="20"/>
  <c r="AR15" i="20"/>
  <c r="AR14" i="20"/>
  <c r="AR13" i="20"/>
  <c r="AR12" i="20"/>
  <c r="AR11" i="20"/>
  <c r="AR10" i="20"/>
  <c r="AR9" i="20"/>
  <c r="AR8" i="20"/>
  <c r="AJ8" i="21"/>
  <c r="AJ7" i="21"/>
  <c r="AP33" i="20"/>
  <c r="AP34" i="20"/>
  <c r="AP35" i="20"/>
  <c r="AP36" i="20"/>
  <c r="AR7" i="20"/>
  <c r="AP10" i="20"/>
  <c r="AP11" i="20"/>
  <c r="AP12" i="20"/>
  <c r="AP13" i="20"/>
  <c r="AP14" i="20"/>
  <c r="AP15" i="20"/>
  <c r="AP16" i="20"/>
  <c r="AP17" i="20"/>
  <c r="AP18" i="20"/>
  <c r="AP19" i="20"/>
  <c r="AP20" i="20"/>
  <c r="AP21" i="20"/>
  <c r="AP22" i="20"/>
  <c r="AP23" i="20"/>
  <c r="AP24" i="20"/>
  <c r="AP25" i="20"/>
  <c r="AP26" i="20"/>
  <c r="AP27" i="20"/>
  <c r="AP28" i="20"/>
  <c r="AP29" i="20"/>
  <c r="AP30" i="20"/>
  <c r="AP31" i="20"/>
  <c r="AP32" i="20"/>
  <c r="AP9" i="20"/>
  <c r="AP8" i="20"/>
  <c r="AP7" i="20"/>
  <c r="B21" i="24" l="1"/>
  <c r="C20" i="24"/>
  <c r="AN38" i="21"/>
  <c r="E10" i="19"/>
  <c r="G10" i="19"/>
  <c r="C16" i="23"/>
  <c r="B17" i="23"/>
  <c r="E11" i="19"/>
  <c r="E12" i="19"/>
  <c r="G11" i="19"/>
  <c r="G12" i="19"/>
  <c r="C12" i="22"/>
  <c r="B13" i="22"/>
  <c r="AL37" i="21"/>
  <c r="AL36" i="21"/>
  <c r="AL29" i="21"/>
  <c r="AL10" i="21"/>
  <c r="AT34" i="20"/>
  <c r="AT12" i="20"/>
  <c r="AT19" i="20"/>
  <c r="AT18" i="20"/>
  <c r="AT10" i="20"/>
  <c r="AJ37" i="21"/>
  <c r="AJ36" i="21"/>
  <c r="AJ35" i="21"/>
  <c r="AJ34" i="21"/>
  <c r="AJ33" i="21"/>
  <c r="AJ32" i="21"/>
  <c r="AJ31" i="21"/>
  <c r="AJ30" i="21"/>
  <c r="AJ29" i="21"/>
  <c r="AJ28" i="21"/>
  <c r="AJ27" i="21"/>
  <c r="AJ26" i="21"/>
  <c r="AJ25" i="21"/>
  <c r="AJ24" i="21"/>
  <c r="AJ23" i="21"/>
  <c r="AJ22" i="21"/>
  <c r="AJ20" i="21"/>
  <c r="AJ21" i="21"/>
  <c r="AJ19" i="21"/>
  <c r="AJ18" i="21"/>
  <c r="AJ17" i="21"/>
  <c r="AJ16" i="21"/>
  <c r="AJ15" i="21"/>
  <c r="AJ14" i="21"/>
  <c r="AJ13" i="21"/>
  <c r="AJ12" i="21"/>
  <c r="AJ11" i="21"/>
  <c r="AJ10" i="21"/>
  <c r="AJ9" i="21"/>
  <c r="L37" i="21"/>
  <c r="I38" i="21"/>
  <c r="H38" i="21"/>
  <c r="H39" i="21" s="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7" i="21"/>
  <c r="L8" i="21"/>
  <c r="L7" i="21"/>
  <c r="L12" i="21"/>
  <c r="K9" i="21"/>
  <c r="L10" i="21" s="1"/>
  <c r="L25" i="21"/>
  <c r="K23" i="21"/>
  <c r="K17" i="21"/>
  <c r="L19" i="21"/>
  <c r="J37" i="21"/>
  <c r="L36" i="21"/>
  <c r="J36" i="21"/>
  <c r="L35" i="21"/>
  <c r="J35" i="21"/>
  <c r="L34" i="21"/>
  <c r="J34" i="21"/>
  <c r="J33" i="21"/>
  <c r="L32" i="21"/>
  <c r="J32" i="21"/>
  <c r="L31" i="21"/>
  <c r="J31" i="21"/>
  <c r="L30" i="21"/>
  <c r="J30" i="21"/>
  <c r="L29" i="21"/>
  <c r="J29" i="21"/>
  <c r="L28" i="21"/>
  <c r="J28" i="21"/>
  <c r="L27" i="21"/>
  <c r="J27" i="21"/>
  <c r="L26" i="21"/>
  <c r="J26" i="21"/>
  <c r="J25" i="21"/>
  <c r="L22" i="21"/>
  <c r="L21" i="21"/>
  <c r="L20" i="21"/>
  <c r="L17" i="21"/>
  <c r="L16" i="21"/>
  <c r="L15" i="21"/>
  <c r="L14" i="21"/>
  <c r="L13" i="21"/>
  <c r="W38" i="21"/>
  <c r="X38" i="21"/>
  <c r="J38" i="21" l="1"/>
  <c r="J39" i="21" s="1"/>
  <c r="B22" i="24"/>
  <c r="C21" i="24"/>
  <c r="C17" i="23"/>
  <c r="B18" i="23"/>
  <c r="B14" i="22"/>
  <c r="C13" i="22"/>
  <c r="AT11" i="20"/>
  <c r="AT21" i="20"/>
  <c r="AT20" i="20"/>
  <c r="L11" i="21"/>
  <c r="L9" i="21"/>
  <c r="L24" i="21"/>
  <c r="L23" i="21"/>
  <c r="L18" i="21"/>
  <c r="B23" i="24" l="1"/>
  <c r="C22" i="24"/>
  <c r="B19" i="23"/>
  <c r="C18" i="23"/>
  <c r="B15" i="22"/>
  <c r="C14" i="22"/>
  <c r="AT23" i="20"/>
  <c r="AT22" i="20"/>
  <c r="L38" i="21"/>
  <c r="L42" i="21" s="1"/>
  <c r="T43" i="21"/>
  <c r="T42" i="21"/>
  <c r="AL38" i="21"/>
  <c r="AJ38" i="21"/>
  <c r="AF38" i="21"/>
  <c r="AD38" i="21"/>
  <c r="AC38" i="21"/>
  <c r="AB38" i="21"/>
  <c r="AA38" i="21"/>
  <c r="Z38" i="21"/>
  <c r="U38" i="21"/>
  <c r="T38" i="21"/>
  <c r="Y37" i="21"/>
  <c r="V37" i="21"/>
  <c r="AR36" i="21"/>
  <c r="AP36" i="21"/>
  <c r="Y36" i="21"/>
  <c r="V36" i="21"/>
  <c r="AR35" i="21"/>
  <c r="AP35" i="21"/>
  <c r="Y35" i="21"/>
  <c r="V35" i="21"/>
  <c r="AR34" i="21"/>
  <c r="AP34" i="21"/>
  <c r="Y34" i="21"/>
  <c r="V34" i="21"/>
  <c r="AR33" i="21"/>
  <c r="AP33" i="21"/>
  <c r="Y33" i="21"/>
  <c r="V33" i="21"/>
  <c r="AR32" i="21"/>
  <c r="AP32" i="21"/>
  <c r="Y32" i="21"/>
  <c r="V32" i="21"/>
  <c r="AR31" i="21"/>
  <c r="AP31" i="21"/>
  <c r="Y31" i="21"/>
  <c r="V31" i="21"/>
  <c r="AR30" i="21"/>
  <c r="AP30" i="21"/>
  <c r="Y30" i="21"/>
  <c r="V30" i="21"/>
  <c r="AR29" i="21"/>
  <c r="AP29" i="21"/>
  <c r="Y29" i="21"/>
  <c r="V29" i="21"/>
  <c r="AR28" i="21"/>
  <c r="AP28" i="21"/>
  <c r="Y28" i="21"/>
  <c r="V28" i="21"/>
  <c r="AR27" i="21"/>
  <c r="AP27" i="21"/>
  <c r="Y27" i="21"/>
  <c r="V27" i="21"/>
  <c r="AR26" i="21"/>
  <c r="AP26" i="21"/>
  <c r="Y26" i="21"/>
  <c r="V26" i="21"/>
  <c r="AR25" i="21"/>
  <c r="AP25" i="21"/>
  <c r="Y25" i="21"/>
  <c r="V25" i="21"/>
  <c r="AR24" i="21"/>
  <c r="AP24" i="21"/>
  <c r="Y24" i="21"/>
  <c r="V24" i="21"/>
  <c r="AR23" i="21"/>
  <c r="AP23" i="21"/>
  <c r="Y23" i="21"/>
  <c r="V23" i="21"/>
  <c r="AR22" i="21"/>
  <c r="AP22" i="21"/>
  <c r="Y22" i="21"/>
  <c r="V22" i="21"/>
  <c r="AR21" i="21"/>
  <c r="AP21" i="21"/>
  <c r="Y21" i="21"/>
  <c r="V21" i="21"/>
  <c r="AR20" i="21"/>
  <c r="AP20" i="21"/>
  <c r="Y20" i="21"/>
  <c r="V20" i="21"/>
  <c r="AR19" i="21"/>
  <c r="AP19" i="21"/>
  <c r="Y19" i="21"/>
  <c r="V19" i="21"/>
  <c r="AR18" i="21"/>
  <c r="AP18" i="21"/>
  <c r="Y18" i="21"/>
  <c r="V18" i="21"/>
  <c r="AR17" i="21"/>
  <c r="AP17" i="21"/>
  <c r="Y17" i="21"/>
  <c r="V17" i="21"/>
  <c r="AR16" i="21"/>
  <c r="AP16" i="21"/>
  <c r="Y16" i="21"/>
  <c r="V16" i="21"/>
  <c r="AR15" i="21"/>
  <c r="AP15" i="21"/>
  <c r="Y15" i="21"/>
  <c r="V15" i="21"/>
  <c r="AR14" i="21"/>
  <c r="AP14" i="21"/>
  <c r="Y14" i="21"/>
  <c r="V14" i="21"/>
  <c r="AR13" i="21"/>
  <c r="AP13" i="21"/>
  <c r="Y13" i="21"/>
  <c r="V13" i="21"/>
  <c r="AR12" i="21"/>
  <c r="AP12" i="21"/>
  <c r="Y12" i="21"/>
  <c r="V12" i="21"/>
  <c r="AR11" i="21"/>
  <c r="AP11" i="21"/>
  <c r="Y11" i="21"/>
  <c r="V11" i="21"/>
  <c r="AR10" i="21"/>
  <c r="AP10" i="21"/>
  <c r="Y10" i="21"/>
  <c r="V10" i="21"/>
  <c r="AR9" i="21"/>
  <c r="AP9" i="21"/>
  <c r="Y9" i="21"/>
  <c r="V9" i="21"/>
  <c r="AR8" i="21"/>
  <c r="AP8" i="21"/>
  <c r="Y8" i="21"/>
  <c r="V8" i="21"/>
  <c r="B8" i="21"/>
  <c r="B9" i="21" s="1"/>
  <c r="AR7" i="21"/>
  <c r="AP7" i="21"/>
  <c r="AS7" i="21" s="1"/>
  <c r="AH7" i="21"/>
  <c r="AH8" i="21" s="1"/>
  <c r="AH9" i="21" s="1"/>
  <c r="AH10" i="21" s="1"/>
  <c r="AH11" i="21" s="1"/>
  <c r="AH12" i="21" s="1"/>
  <c r="AH13" i="21" s="1"/>
  <c r="AH14" i="21" s="1"/>
  <c r="AH15" i="21" s="1"/>
  <c r="AH16" i="21" s="1"/>
  <c r="AH17" i="21" s="1"/>
  <c r="AH18" i="21" s="1"/>
  <c r="AH19" i="21" s="1"/>
  <c r="AH20" i="21" s="1"/>
  <c r="AH21" i="21" s="1"/>
  <c r="AH22" i="21" s="1"/>
  <c r="AH23" i="21" s="1"/>
  <c r="AH24" i="21" s="1"/>
  <c r="AH25" i="21" s="1"/>
  <c r="AH26" i="21" s="1"/>
  <c r="AH27" i="21" s="1"/>
  <c r="AH28" i="21" s="1"/>
  <c r="AH29" i="21" s="1"/>
  <c r="AH30" i="21" s="1"/>
  <c r="AH31" i="21" s="1"/>
  <c r="AH32" i="21" s="1"/>
  <c r="AH33" i="21" s="1"/>
  <c r="AH34" i="21" s="1"/>
  <c r="AH35" i="21" s="1"/>
  <c r="AH36" i="21" s="1"/>
  <c r="AE7" i="21"/>
  <c r="AE8" i="21" s="1"/>
  <c r="AE9" i="21" s="1"/>
  <c r="AE10" i="21" s="1"/>
  <c r="AE11" i="21" s="1"/>
  <c r="AE12" i="21" s="1"/>
  <c r="AE13" i="21" s="1"/>
  <c r="AE14" i="21" s="1"/>
  <c r="AE15" i="21" s="1"/>
  <c r="AE16" i="21" s="1"/>
  <c r="AE17" i="21" s="1"/>
  <c r="AE18" i="21" s="1"/>
  <c r="AE19" i="21" s="1"/>
  <c r="AE20" i="21" s="1"/>
  <c r="AE21" i="21" s="1"/>
  <c r="AE22" i="21" s="1"/>
  <c r="AE23" i="21" s="1"/>
  <c r="AE24" i="21" s="1"/>
  <c r="AE25" i="21" s="1"/>
  <c r="AE26" i="21" s="1"/>
  <c r="AE27" i="21" s="1"/>
  <c r="AE28" i="21" s="1"/>
  <c r="AE29" i="21" s="1"/>
  <c r="AE30" i="21" s="1"/>
  <c r="AE31" i="21" s="1"/>
  <c r="AE32" i="21" s="1"/>
  <c r="Y7" i="21"/>
  <c r="V7" i="21"/>
  <c r="C7" i="21"/>
  <c r="AT38" i="20" l="1"/>
  <c r="AS11" i="21"/>
  <c r="AS13" i="21"/>
  <c r="AS15" i="21"/>
  <c r="AS19" i="21"/>
  <c r="AS21" i="21"/>
  <c r="AS23" i="21"/>
  <c r="AS27" i="21"/>
  <c r="AS29" i="21"/>
  <c r="AS31" i="21"/>
  <c r="T44" i="21"/>
  <c r="AE33" i="21"/>
  <c r="AE34" i="21" s="1"/>
  <c r="AE35" i="21" s="1"/>
  <c r="AE36" i="21" s="1"/>
  <c r="AS20" i="21"/>
  <c r="AS22" i="21"/>
  <c r="AS28" i="21"/>
  <c r="AS30" i="21"/>
  <c r="AS36" i="21"/>
  <c r="B24" i="24"/>
  <c r="C23" i="24"/>
  <c r="AP38" i="21"/>
  <c r="AR38" i="21"/>
  <c r="AS10" i="21"/>
  <c r="L39" i="21"/>
  <c r="B20" i="23"/>
  <c r="C19" i="23"/>
  <c r="C15" i="22"/>
  <c r="B16" i="22"/>
  <c r="AS18" i="21"/>
  <c r="AS34" i="21"/>
  <c r="AS26" i="21"/>
  <c r="Y38" i="21"/>
  <c r="L43" i="21" s="1"/>
  <c r="L45" i="21" s="1"/>
  <c r="L47" i="21" s="1"/>
  <c r="AS35" i="21"/>
  <c r="AS12" i="21"/>
  <c r="AS14" i="21"/>
  <c r="AS9" i="21"/>
  <c r="AS16" i="21"/>
  <c r="AS17" i="21"/>
  <c r="AS24" i="21"/>
  <c r="AS25" i="21"/>
  <c r="AS32" i="21"/>
  <c r="AS33" i="21"/>
  <c r="V38" i="21"/>
  <c r="B10" i="21"/>
  <c r="C9" i="21"/>
  <c r="AS8" i="21"/>
  <c r="C8" i="21"/>
  <c r="B25" i="24" l="1"/>
  <c r="C24" i="24"/>
  <c r="C20" i="23"/>
  <c r="B21" i="23"/>
  <c r="C16" i="22"/>
  <c r="B17" i="22"/>
  <c r="AS38" i="21"/>
  <c r="B11" i="21"/>
  <c r="C10" i="21"/>
  <c r="R43" i="20"/>
  <c r="R42" i="20"/>
  <c r="B26" i="24" l="1"/>
  <c r="C25" i="24"/>
  <c r="B22" i="23"/>
  <c r="C21" i="23"/>
  <c r="C17" i="22"/>
  <c r="B18" i="22"/>
  <c r="B12" i="21"/>
  <c r="C11" i="21"/>
  <c r="L42" i="20"/>
  <c r="Y7" i="20"/>
  <c r="T38" i="20"/>
  <c r="U38" i="20"/>
  <c r="Z38" i="20"/>
  <c r="AA38" i="20"/>
  <c r="AB38" i="20"/>
  <c r="AC38" i="20"/>
  <c r="AG38" i="20"/>
  <c r="AL38" i="20"/>
  <c r="AM38" i="20"/>
  <c r="AP38" i="20"/>
  <c r="AR38" i="20"/>
  <c r="B27" i="24" l="1"/>
  <c r="C26" i="24"/>
  <c r="B23" i="23"/>
  <c r="C22" i="23"/>
  <c r="B19" i="22"/>
  <c r="C18" i="22"/>
  <c r="B13" i="21"/>
  <c r="C12" i="21"/>
  <c r="AX7" i="20"/>
  <c r="AV7" i="20"/>
  <c r="B28" i="24" l="1"/>
  <c r="C27" i="24"/>
  <c r="C23" i="23"/>
  <c r="B24" i="23"/>
  <c r="B20" i="22"/>
  <c r="C19" i="22"/>
  <c r="B14" i="21"/>
  <c r="C13" i="21"/>
  <c r="B29" i="24" l="1"/>
  <c r="C28" i="24"/>
  <c r="C24" i="23"/>
  <c r="B25" i="23"/>
  <c r="C20" i="22"/>
  <c r="B21" i="22"/>
  <c r="B15" i="21"/>
  <c r="C14" i="21"/>
  <c r="B30" i="24" l="1"/>
  <c r="C29" i="24"/>
  <c r="C25" i="23"/>
  <c r="B26" i="23"/>
  <c r="C21" i="22"/>
  <c r="B22" i="22"/>
  <c r="B16" i="21"/>
  <c r="C15" i="21"/>
  <c r="AG38" i="18"/>
  <c r="AD39" i="18" s="1"/>
  <c r="AE7" i="18"/>
  <c r="AE8" i="18" s="1"/>
  <c r="AE9" i="18" s="1"/>
  <c r="AE10" i="18" s="1"/>
  <c r="AE11" i="18" s="1"/>
  <c r="AE12" i="18" s="1"/>
  <c r="AE13" i="18" s="1"/>
  <c r="AE14" i="18" s="1"/>
  <c r="AE15" i="18" s="1"/>
  <c r="AE16" i="18" s="1"/>
  <c r="AE17" i="18" s="1"/>
  <c r="AE18" i="18" s="1"/>
  <c r="AE19" i="18" s="1"/>
  <c r="AE20" i="18" s="1"/>
  <c r="AE21" i="18" s="1"/>
  <c r="AE22" i="18" s="1"/>
  <c r="AE23" i="18" s="1"/>
  <c r="AE24" i="18" s="1"/>
  <c r="AE25" i="18" s="1"/>
  <c r="AE26" i="18" s="1"/>
  <c r="AE27" i="18" s="1"/>
  <c r="AE28" i="18" s="1"/>
  <c r="AE29" i="18" s="1"/>
  <c r="AE30" i="18" s="1"/>
  <c r="AE31" i="18" s="1"/>
  <c r="AE32" i="18" s="1"/>
  <c r="AE33" i="18" s="1"/>
  <c r="AE34" i="18" s="1"/>
  <c r="AE35" i="18" s="1"/>
  <c r="AE36" i="18" s="1"/>
  <c r="B31" i="24" l="1"/>
  <c r="C30" i="24"/>
  <c r="B27" i="23"/>
  <c r="C26" i="23"/>
  <c r="C22" i="22"/>
  <c r="B23" i="22"/>
  <c r="B17" i="21"/>
  <c r="C16" i="21"/>
  <c r="AL7" i="18"/>
  <c r="AN7" i="18"/>
  <c r="AP37" i="18"/>
  <c r="AN37" i="18"/>
  <c r="AL37" i="18"/>
  <c r="AN36" i="18"/>
  <c r="AL36" i="18"/>
  <c r="AN35" i="18"/>
  <c r="AL35" i="18"/>
  <c r="AP34" i="18"/>
  <c r="AN34" i="18"/>
  <c r="AL34" i="18"/>
  <c r="AP33" i="18"/>
  <c r="AN33" i="18"/>
  <c r="AL33" i="18"/>
  <c r="AP32" i="18"/>
  <c r="AN32" i="18"/>
  <c r="AL32" i="18"/>
  <c r="AP31" i="18"/>
  <c r="AN31" i="18"/>
  <c r="AL31" i="18"/>
  <c r="AP30" i="18"/>
  <c r="AN30" i="18"/>
  <c r="AL30" i="18"/>
  <c r="AP29" i="18"/>
  <c r="AN29" i="18"/>
  <c r="AL29" i="18"/>
  <c r="AP28" i="18"/>
  <c r="AN28" i="18"/>
  <c r="AL28" i="18"/>
  <c r="AP27" i="18"/>
  <c r="AN27" i="18"/>
  <c r="AL27" i="18"/>
  <c r="AP26" i="18"/>
  <c r="AN26" i="18"/>
  <c r="AL26" i="18"/>
  <c r="AP25" i="18"/>
  <c r="AN25" i="18"/>
  <c r="AL25" i="18"/>
  <c r="AP24" i="18"/>
  <c r="AN24" i="18"/>
  <c r="AL24" i="18"/>
  <c r="AP23" i="18"/>
  <c r="AN23" i="18"/>
  <c r="AL23" i="18"/>
  <c r="AP22" i="18"/>
  <c r="AN22" i="18"/>
  <c r="AL22" i="18"/>
  <c r="AP21" i="18"/>
  <c r="AN21" i="18"/>
  <c r="AL21" i="18"/>
  <c r="AP20" i="18"/>
  <c r="AN20" i="18"/>
  <c r="AL20" i="18"/>
  <c r="AP19" i="18"/>
  <c r="AN19" i="18"/>
  <c r="AL19" i="18"/>
  <c r="AP18" i="18"/>
  <c r="AN18" i="18"/>
  <c r="AL18" i="18"/>
  <c r="AP17" i="18"/>
  <c r="AN17" i="18"/>
  <c r="AL17" i="18"/>
  <c r="AP16" i="18"/>
  <c r="AN16" i="18"/>
  <c r="AL16" i="18"/>
  <c r="AP15" i="18"/>
  <c r="AN15" i="18"/>
  <c r="AL15" i="18"/>
  <c r="AP14" i="18"/>
  <c r="AN14" i="18"/>
  <c r="AL14" i="18"/>
  <c r="AP13" i="18"/>
  <c r="AN13" i="18"/>
  <c r="AL13" i="18"/>
  <c r="AP12" i="18"/>
  <c r="AN12" i="18"/>
  <c r="AL12" i="18"/>
  <c r="AP11" i="18"/>
  <c r="AN11" i="18"/>
  <c r="AL11" i="18"/>
  <c r="AP10" i="18"/>
  <c r="AN10" i="18"/>
  <c r="AL10" i="18"/>
  <c r="AP9" i="18"/>
  <c r="AN9" i="18"/>
  <c r="AL9" i="18"/>
  <c r="AP8" i="18"/>
  <c r="AN8" i="18"/>
  <c r="AL8" i="18"/>
  <c r="AP7" i="18"/>
  <c r="L37" i="18"/>
  <c r="G37" i="18"/>
  <c r="S36" i="18"/>
  <c r="Q36" i="18"/>
  <c r="L36" i="18"/>
  <c r="J36" i="18"/>
  <c r="G36" i="18"/>
  <c r="S35" i="18"/>
  <c r="Q35" i="18"/>
  <c r="L35" i="18"/>
  <c r="J35" i="18"/>
  <c r="G35" i="18"/>
  <c r="S34" i="18"/>
  <c r="Q34" i="18"/>
  <c r="L34" i="18"/>
  <c r="J34" i="18"/>
  <c r="G34" i="18"/>
  <c r="S33" i="18"/>
  <c r="Q33" i="18"/>
  <c r="L33" i="18"/>
  <c r="J33" i="18"/>
  <c r="G33" i="18"/>
  <c r="S32" i="18"/>
  <c r="Q32" i="18"/>
  <c r="L32" i="18"/>
  <c r="J32" i="18"/>
  <c r="G32" i="18"/>
  <c r="S31" i="18"/>
  <c r="Q31" i="18"/>
  <c r="L31" i="18"/>
  <c r="J31" i="18"/>
  <c r="G31" i="18"/>
  <c r="S30" i="18"/>
  <c r="Q30" i="18"/>
  <c r="L30" i="18"/>
  <c r="J30" i="18"/>
  <c r="G30" i="18"/>
  <c r="S29" i="18"/>
  <c r="Q29" i="18"/>
  <c r="L29" i="18"/>
  <c r="J29" i="18"/>
  <c r="G29" i="18"/>
  <c r="S28" i="18"/>
  <c r="Q28" i="18"/>
  <c r="L28" i="18"/>
  <c r="J28" i="18"/>
  <c r="G28" i="18"/>
  <c r="S27" i="18"/>
  <c r="Q27" i="18"/>
  <c r="L27" i="18"/>
  <c r="J27" i="18"/>
  <c r="G27" i="18"/>
  <c r="S26" i="18"/>
  <c r="Q26" i="18"/>
  <c r="L26" i="18"/>
  <c r="J26" i="18"/>
  <c r="G26" i="18"/>
  <c r="S25" i="18"/>
  <c r="Q25" i="18"/>
  <c r="L25" i="18"/>
  <c r="J25" i="18"/>
  <c r="G25" i="18"/>
  <c r="S24" i="18"/>
  <c r="Q24" i="18"/>
  <c r="L24" i="18"/>
  <c r="J24" i="18"/>
  <c r="G24" i="18"/>
  <c r="S23" i="18"/>
  <c r="Q23" i="18"/>
  <c r="L23" i="18"/>
  <c r="J23" i="18"/>
  <c r="G23" i="18"/>
  <c r="S22" i="18"/>
  <c r="Q22" i="18"/>
  <c r="L22" i="18"/>
  <c r="J22" i="18"/>
  <c r="G22" i="18"/>
  <c r="S21" i="18"/>
  <c r="Q21" i="18"/>
  <c r="L21" i="18"/>
  <c r="J21" i="18"/>
  <c r="G21" i="18"/>
  <c r="S20" i="18"/>
  <c r="Q20" i="18"/>
  <c r="L20" i="18"/>
  <c r="J20" i="18"/>
  <c r="G20" i="18"/>
  <c r="S19" i="18"/>
  <c r="Q19" i="18"/>
  <c r="L19" i="18"/>
  <c r="J19" i="18"/>
  <c r="G19" i="18"/>
  <c r="S18" i="18"/>
  <c r="Q18" i="18"/>
  <c r="L18" i="18"/>
  <c r="J18" i="18"/>
  <c r="G18" i="18"/>
  <c r="S17" i="18"/>
  <c r="Q17" i="18"/>
  <c r="L17" i="18"/>
  <c r="J17" i="18"/>
  <c r="G17" i="18"/>
  <c r="S16" i="18"/>
  <c r="Q16" i="18"/>
  <c r="L16" i="18"/>
  <c r="J16" i="18"/>
  <c r="G16" i="18"/>
  <c r="S15" i="18"/>
  <c r="Q15" i="18"/>
  <c r="L15" i="18"/>
  <c r="J15" i="18"/>
  <c r="G15" i="18"/>
  <c r="S14" i="18"/>
  <c r="Q14" i="18"/>
  <c r="L14" i="18"/>
  <c r="J14" i="18"/>
  <c r="G14" i="18"/>
  <c r="S13" i="18"/>
  <c r="Q13" i="18"/>
  <c r="L13" i="18"/>
  <c r="J13" i="18"/>
  <c r="G13" i="18"/>
  <c r="S12" i="18"/>
  <c r="Q12" i="18"/>
  <c r="L12" i="18"/>
  <c r="J12" i="18"/>
  <c r="G12" i="18"/>
  <c r="S11" i="18"/>
  <c r="Q11" i="18"/>
  <c r="L11" i="18"/>
  <c r="J11" i="18"/>
  <c r="G11" i="18"/>
  <c r="S10" i="18"/>
  <c r="Q10" i="18"/>
  <c r="L10" i="18"/>
  <c r="J10" i="18"/>
  <c r="G10" i="18"/>
  <c r="S9" i="18"/>
  <c r="Q9" i="18"/>
  <c r="L9" i="18"/>
  <c r="J9" i="18"/>
  <c r="G9" i="18"/>
  <c r="S8" i="18"/>
  <c r="Q8" i="18"/>
  <c r="L8" i="18"/>
  <c r="J8" i="18"/>
  <c r="G8" i="18"/>
  <c r="S7" i="18"/>
  <c r="Q7" i="18"/>
  <c r="J7" i="18"/>
  <c r="G7" i="18"/>
  <c r="C7" i="18"/>
  <c r="V7" i="18"/>
  <c r="Y7" i="18"/>
  <c r="AJ7" i="18"/>
  <c r="AJ8" i="18" s="1"/>
  <c r="AJ9" i="18" s="1"/>
  <c r="AJ10" i="18" s="1"/>
  <c r="AJ11" i="18" s="1"/>
  <c r="AJ12" i="18" s="1"/>
  <c r="AJ13" i="18" s="1"/>
  <c r="AJ14" i="18" s="1"/>
  <c r="AJ15" i="18" s="1"/>
  <c r="AJ16" i="18" s="1"/>
  <c r="AJ17" i="18" s="1"/>
  <c r="AJ18" i="18" s="1"/>
  <c r="AJ19" i="18" s="1"/>
  <c r="AJ20" i="18" s="1"/>
  <c r="AJ21" i="18" s="1"/>
  <c r="AJ22" i="18" s="1"/>
  <c r="AJ23" i="18" s="1"/>
  <c r="AJ24" i="18" s="1"/>
  <c r="AJ25" i="18" s="1"/>
  <c r="AJ26" i="18" s="1"/>
  <c r="AJ27" i="18" s="1"/>
  <c r="AJ28" i="18" s="1"/>
  <c r="AJ29" i="18" s="1"/>
  <c r="AJ30" i="18" s="1"/>
  <c r="AJ31" i="18" s="1"/>
  <c r="B8" i="18"/>
  <c r="C8" i="18" s="1"/>
  <c r="V8" i="18"/>
  <c r="Y8" i="18"/>
  <c r="V9" i="18"/>
  <c r="Y9" i="18"/>
  <c r="V10" i="18"/>
  <c r="Y10" i="18"/>
  <c r="V11" i="18"/>
  <c r="Y11" i="18"/>
  <c r="V12" i="18"/>
  <c r="Y12" i="18"/>
  <c r="V13" i="18"/>
  <c r="Y13" i="18"/>
  <c r="V14" i="18"/>
  <c r="Y14" i="18"/>
  <c r="V15" i="18"/>
  <c r="Y15" i="18"/>
  <c r="V16" i="18"/>
  <c r="Y16" i="18"/>
  <c r="V17" i="18"/>
  <c r="Y17" i="18"/>
  <c r="V18" i="18"/>
  <c r="Y18" i="18"/>
  <c r="V19" i="18"/>
  <c r="Y19" i="18"/>
  <c r="V20" i="18"/>
  <c r="Y20" i="18"/>
  <c r="V21" i="18"/>
  <c r="Y21" i="18"/>
  <c r="V22" i="18"/>
  <c r="Y22" i="18"/>
  <c r="V23" i="18"/>
  <c r="Y23" i="18"/>
  <c r="V24" i="18"/>
  <c r="Y24" i="18"/>
  <c r="V25" i="18"/>
  <c r="Y25" i="18"/>
  <c r="V26" i="18"/>
  <c r="Y26" i="18"/>
  <c r="V27" i="18"/>
  <c r="Y27" i="18"/>
  <c r="V28" i="18"/>
  <c r="Y28" i="18"/>
  <c r="V29" i="18"/>
  <c r="Y29" i="18"/>
  <c r="V30" i="18"/>
  <c r="Y30" i="18"/>
  <c r="V31" i="18"/>
  <c r="Y31" i="18"/>
  <c r="B32" i="24" l="1"/>
  <c r="C31" i="24"/>
  <c r="C27" i="23"/>
  <c r="B28" i="23"/>
  <c r="B24" i="22"/>
  <c r="C23" i="22"/>
  <c r="AP38" i="18"/>
  <c r="B18" i="21"/>
  <c r="C17" i="21"/>
  <c r="AN38" i="18"/>
  <c r="B9" i="18"/>
  <c r="B33" i="24" l="1"/>
  <c r="C32" i="24"/>
  <c r="C28" i="23"/>
  <c r="B29" i="23"/>
  <c r="B25" i="22"/>
  <c r="C24" i="22"/>
  <c r="B19" i="21"/>
  <c r="C18" i="21"/>
  <c r="C9" i="18"/>
  <c r="B10" i="18"/>
  <c r="B34" i="24" l="1"/>
  <c r="C33" i="24"/>
  <c r="C29" i="23"/>
  <c r="B30" i="23"/>
  <c r="C25" i="22"/>
  <c r="B26" i="22"/>
  <c r="B20" i="21"/>
  <c r="C19" i="21"/>
  <c r="C10" i="18"/>
  <c r="B11" i="18"/>
  <c r="C34" i="24" l="1"/>
  <c r="B35" i="24"/>
  <c r="B31" i="23"/>
  <c r="C30" i="23"/>
  <c r="C26" i="22"/>
  <c r="B27" i="22"/>
  <c r="B21" i="21"/>
  <c r="C20" i="21"/>
  <c r="C11" i="18"/>
  <c r="B12" i="18"/>
  <c r="C35" i="24" l="1"/>
  <c r="B36" i="24"/>
  <c r="C31" i="23"/>
  <c r="B32" i="23"/>
  <c r="C27" i="22"/>
  <c r="B28" i="22"/>
  <c r="B22" i="21"/>
  <c r="C21" i="21"/>
  <c r="C12" i="18"/>
  <c r="B13" i="18"/>
  <c r="C36" i="24" l="1"/>
  <c r="B37" i="24"/>
  <c r="C37" i="24" s="1"/>
  <c r="C32" i="23"/>
  <c r="B33" i="23"/>
  <c r="C28" i="22"/>
  <c r="B29" i="22"/>
  <c r="B23" i="21"/>
  <c r="C22" i="21"/>
  <c r="C13" i="18"/>
  <c r="B14" i="18"/>
  <c r="C33" i="23" l="1"/>
  <c r="B34" i="23"/>
  <c r="C29" i="22"/>
  <c r="B30" i="22"/>
  <c r="B24" i="21"/>
  <c r="C23" i="21"/>
  <c r="C14" i="18"/>
  <c r="B15" i="18"/>
  <c r="C34" i="23" l="1"/>
  <c r="B31" i="22"/>
  <c r="C30" i="22"/>
  <c r="B25" i="21"/>
  <c r="C24" i="21"/>
  <c r="C15" i="18"/>
  <c r="B16" i="18"/>
  <c r="B32" i="22" l="1"/>
  <c r="C31" i="22"/>
  <c r="B26" i="21"/>
  <c r="C25" i="21"/>
  <c r="C16" i="18"/>
  <c r="B17" i="18"/>
  <c r="B33" i="22" l="1"/>
  <c r="C32" i="22"/>
  <c r="B27" i="21"/>
  <c r="C26" i="21"/>
  <c r="B18" i="18"/>
  <c r="C17" i="18"/>
  <c r="C33" i="22" l="1"/>
  <c r="B34" i="22"/>
  <c r="B28" i="21"/>
  <c r="C27" i="21"/>
  <c r="C18" i="18"/>
  <c r="B19" i="18"/>
  <c r="C34" i="22" l="1"/>
  <c r="B35" i="22"/>
  <c r="B29" i="21"/>
  <c r="C28" i="21"/>
  <c r="B20" i="18"/>
  <c r="C19" i="18"/>
  <c r="C35" i="22" l="1"/>
  <c r="B36" i="22"/>
  <c r="B30" i="21"/>
  <c r="C29" i="21"/>
  <c r="C20" i="18"/>
  <c r="B21" i="18"/>
  <c r="C36" i="22" l="1"/>
  <c r="B37" i="22"/>
  <c r="C37" i="22" s="1"/>
  <c r="B31" i="21"/>
  <c r="C30" i="21"/>
  <c r="C21" i="18"/>
  <c r="B22" i="18"/>
  <c r="B32" i="21" l="1"/>
  <c r="C31" i="21"/>
  <c r="C22" i="18"/>
  <c r="B23" i="18"/>
  <c r="B33" i="21" l="1"/>
  <c r="C32" i="21"/>
  <c r="B24" i="18"/>
  <c r="C23" i="18"/>
  <c r="B34" i="21" l="1"/>
  <c r="C33" i="21"/>
  <c r="C24" i="18"/>
  <c r="B25" i="18"/>
  <c r="B35" i="21" l="1"/>
  <c r="C34" i="21"/>
  <c r="C25" i="18"/>
  <c r="B26" i="18"/>
  <c r="B36" i="21" l="1"/>
  <c r="C35" i="21"/>
  <c r="C26" i="18"/>
  <c r="B27" i="18"/>
  <c r="B37" i="21" l="1"/>
  <c r="C37" i="21" s="1"/>
  <c r="C36" i="21"/>
  <c r="C27" i="18"/>
  <c r="B28" i="18"/>
  <c r="C28" i="18" l="1"/>
  <c r="B29" i="18"/>
  <c r="C29" i="18" l="1"/>
  <c r="B30" i="18"/>
  <c r="C30" i="18" l="1"/>
  <c r="B31" i="18"/>
  <c r="C31" i="18" s="1"/>
  <c r="AT36" i="18" l="1"/>
  <c r="AT37" i="18"/>
  <c r="AU37" i="18" s="1"/>
  <c r="AT35" i="18"/>
  <c r="AT34" i="18"/>
  <c r="Q9" i="16" l="1"/>
  <c r="AX36" i="20" l="1"/>
  <c r="AV36" i="20"/>
  <c r="Y36" i="20"/>
  <c r="V36" i="20"/>
  <c r="AX35" i="20"/>
  <c r="AV35" i="20"/>
  <c r="AY35" i="20" s="1"/>
  <c r="Y35" i="20"/>
  <c r="V35" i="20"/>
  <c r="AX34" i="20"/>
  <c r="AV34" i="20"/>
  <c r="Y34" i="20"/>
  <c r="V34" i="20"/>
  <c r="AX33" i="20"/>
  <c r="AV33" i="20"/>
  <c r="Y33" i="20"/>
  <c r="V33" i="20"/>
  <c r="AX32" i="20"/>
  <c r="AV32" i="20"/>
  <c r="Y32" i="20"/>
  <c r="V32" i="20"/>
  <c r="AX31" i="20"/>
  <c r="AV31" i="20"/>
  <c r="Y31" i="20"/>
  <c r="V31" i="20"/>
  <c r="AX30" i="20"/>
  <c r="AV30" i="20"/>
  <c r="Y30" i="20"/>
  <c r="V30" i="20"/>
  <c r="AX29" i="20"/>
  <c r="AV29" i="20"/>
  <c r="Y29" i="20"/>
  <c r="V29" i="20"/>
  <c r="AX28" i="20"/>
  <c r="AV28" i="20"/>
  <c r="Y28" i="20"/>
  <c r="V28" i="20"/>
  <c r="AX27" i="20"/>
  <c r="AV27" i="20"/>
  <c r="Y27" i="20"/>
  <c r="V27" i="20"/>
  <c r="AX26" i="20"/>
  <c r="AV26" i="20"/>
  <c r="Y26" i="20"/>
  <c r="V26" i="20"/>
  <c r="AX25" i="20"/>
  <c r="AV25" i="20"/>
  <c r="Y25" i="20"/>
  <c r="V25" i="20"/>
  <c r="AX24" i="20"/>
  <c r="AV24" i="20"/>
  <c r="Y24" i="20"/>
  <c r="V24" i="20"/>
  <c r="AX23" i="20"/>
  <c r="AV23" i="20"/>
  <c r="Y23" i="20"/>
  <c r="V23" i="20"/>
  <c r="AX22" i="20"/>
  <c r="AV22" i="20"/>
  <c r="Y22" i="20"/>
  <c r="V22" i="20"/>
  <c r="AX21" i="20"/>
  <c r="AV21" i="20"/>
  <c r="Y21" i="20"/>
  <c r="V21" i="20"/>
  <c r="AX20" i="20"/>
  <c r="AV20" i="20"/>
  <c r="Y20" i="20"/>
  <c r="V20" i="20"/>
  <c r="AX19" i="20"/>
  <c r="AV19" i="20"/>
  <c r="Y19" i="20"/>
  <c r="V19" i="20"/>
  <c r="AX18" i="20"/>
  <c r="AV18" i="20"/>
  <c r="Y18" i="20"/>
  <c r="V18" i="20"/>
  <c r="AX17" i="20"/>
  <c r="AV17" i="20"/>
  <c r="Y17" i="20"/>
  <c r="V17" i="20"/>
  <c r="AX16" i="20"/>
  <c r="AV16" i="20"/>
  <c r="Y16" i="20"/>
  <c r="V16" i="20"/>
  <c r="AX15" i="20"/>
  <c r="AV15" i="20"/>
  <c r="Y15" i="20"/>
  <c r="V15" i="20"/>
  <c r="AX14" i="20"/>
  <c r="AV14" i="20"/>
  <c r="Y14" i="20"/>
  <c r="V14" i="20"/>
  <c r="AX13" i="20"/>
  <c r="AV13" i="20"/>
  <c r="Y13" i="20"/>
  <c r="V13" i="20"/>
  <c r="AX12" i="20"/>
  <c r="AV12" i="20"/>
  <c r="Y12" i="20"/>
  <c r="V12" i="20"/>
  <c r="AX11" i="20"/>
  <c r="AV11" i="20"/>
  <c r="Y11" i="20"/>
  <c r="V11" i="20"/>
  <c r="AX10" i="20"/>
  <c r="AV10" i="20"/>
  <c r="Y10" i="20"/>
  <c r="V10" i="20"/>
  <c r="AX9" i="20"/>
  <c r="AV9" i="20"/>
  <c r="Y9" i="20"/>
  <c r="V9" i="20"/>
  <c r="AX8" i="20"/>
  <c r="AV8" i="20"/>
  <c r="V8" i="20"/>
  <c r="B8" i="20"/>
  <c r="B9" i="20" s="1"/>
  <c r="AY7" i="20"/>
  <c r="AN7" i="20"/>
  <c r="AN8" i="20" s="1"/>
  <c r="AN9" i="20" s="1"/>
  <c r="AN10" i="20" s="1"/>
  <c r="AN11" i="20" s="1"/>
  <c r="AN12" i="20" s="1"/>
  <c r="AN13" i="20" s="1"/>
  <c r="AN14" i="20" s="1"/>
  <c r="AN15" i="20" s="1"/>
  <c r="AN16" i="20" s="1"/>
  <c r="AK7" i="20"/>
  <c r="AK8" i="20" s="1"/>
  <c r="AK9" i="20" s="1"/>
  <c r="AK10" i="20" s="1"/>
  <c r="AK11" i="20" s="1"/>
  <c r="AK12" i="20" s="1"/>
  <c r="AK13" i="20" s="1"/>
  <c r="AK14" i="20" s="1"/>
  <c r="AK15" i="20" s="1"/>
  <c r="AK16" i="20" s="1"/>
  <c r="AK17" i="20" s="1"/>
  <c r="AK18" i="20" s="1"/>
  <c r="AK19" i="20" s="1"/>
  <c r="AK20" i="20" s="1"/>
  <c r="AK21" i="20" s="1"/>
  <c r="AK22" i="20" s="1"/>
  <c r="AK23" i="20" s="1"/>
  <c r="AK24" i="20" s="1"/>
  <c r="AK25" i="20" s="1"/>
  <c r="AK26" i="20" s="1"/>
  <c r="AK27" i="20" s="1"/>
  <c r="AK28" i="20" s="1"/>
  <c r="AK29" i="20" s="1"/>
  <c r="AK30" i="20" s="1"/>
  <c r="AK31" i="20" s="1"/>
  <c r="AK32" i="20" s="1"/>
  <c r="AK33" i="20" s="1"/>
  <c r="AK34" i="20" s="1"/>
  <c r="AK35" i="20" s="1"/>
  <c r="AK36" i="20" s="1"/>
  <c r="V7" i="20"/>
  <c r="C7" i="20"/>
  <c r="AC38" i="18"/>
  <c r="AY21" i="20" l="1"/>
  <c r="AY36" i="20"/>
  <c r="AY34" i="20"/>
  <c r="AX38" i="20"/>
  <c r="Y38" i="20"/>
  <c r="L43" i="20" s="1"/>
  <c r="L44" i="20" s="1"/>
  <c r="AY25" i="20"/>
  <c r="AY30" i="20"/>
  <c r="AY26" i="20"/>
  <c r="AY27" i="20"/>
  <c r="AY28" i="20"/>
  <c r="AY29" i="20"/>
  <c r="AY33" i="20"/>
  <c r="V38" i="20"/>
  <c r="AY8" i="20"/>
  <c r="AV38" i="20"/>
  <c r="AY10" i="20"/>
  <c r="AY12" i="20"/>
  <c r="AY14" i="20"/>
  <c r="AY16" i="20"/>
  <c r="AY17" i="20"/>
  <c r="AY20" i="20"/>
  <c r="AY22" i="20"/>
  <c r="AY23" i="20"/>
  <c r="AY24" i="20"/>
  <c r="AY31" i="20"/>
  <c r="AY32" i="20"/>
  <c r="AN17" i="20"/>
  <c r="AN18" i="20" s="1"/>
  <c r="AN19" i="20" s="1"/>
  <c r="AN20" i="20" s="1"/>
  <c r="AN21" i="20" s="1"/>
  <c r="AN22" i="20" s="1"/>
  <c r="AN23" i="20" s="1"/>
  <c r="AN24" i="20" s="1"/>
  <c r="AN25" i="20" s="1"/>
  <c r="AN26" i="20" s="1"/>
  <c r="AN27" i="20" s="1"/>
  <c r="AN28" i="20" s="1"/>
  <c r="AN29" i="20" s="1"/>
  <c r="AN30" i="20" s="1"/>
  <c r="AN31" i="20" s="1"/>
  <c r="AN32" i="20" s="1"/>
  <c r="AN33" i="20" s="1"/>
  <c r="AN34" i="20" s="1"/>
  <c r="AN35" i="20" s="1"/>
  <c r="AN36" i="20" s="1"/>
  <c r="R44" i="20"/>
  <c r="AY13" i="20"/>
  <c r="AY9" i="20"/>
  <c r="AY11" i="20"/>
  <c r="AY15" i="20"/>
  <c r="AY18" i="20"/>
  <c r="AY19" i="20"/>
  <c r="C9" i="20"/>
  <c r="B10" i="20"/>
  <c r="C8" i="20"/>
  <c r="AY38" i="20" l="1"/>
  <c r="B11" i="20"/>
  <c r="C10" i="20"/>
  <c r="AF38" i="16"/>
  <c r="C11" i="20" l="1"/>
  <c r="B12" i="20"/>
  <c r="AD38" i="12"/>
  <c r="AH37" i="13"/>
  <c r="AF38" i="14"/>
  <c r="AF38" i="15"/>
  <c r="AF38" i="18"/>
  <c r="B13" i="20" l="1"/>
  <c r="C12" i="20"/>
  <c r="AT9" i="18"/>
  <c r="AT10" i="18"/>
  <c r="AT11" i="18"/>
  <c r="AT12" i="18"/>
  <c r="AT13" i="18"/>
  <c r="AT14" i="18"/>
  <c r="AT15" i="18"/>
  <c r="AT16" i="18"/>
  <c r="AT17" i="18"/>
  <c r="AT18" i="18"/>
  <c r="AT19" i="18"/>
  <c r="AT20" i="18"/>
  <c r="AT21" i="18"/>
  <c r="AT22" i="18"/>
  <c r="AT23" i="18"/>
  <c r="AT24" i="18"/>
  <c r="AT25" i="18"/>
  <c r="AT26" i="18"/>
  <c r="AT27" i="18"/>
  <c r="AT8" i="18"/>
  <c r="AT7" i="18"/>
  <c r="AR9" i="18"/>
  <c r="AR8" i="18"/>
  <c r="AR7" i="18"/>
  <c r="AB38" i="12"/>
  <c r="AC7" i="12"/>
  <c r="AC8" i="12" s="1"/>
  <c r="AC9" i="12" s="1"/>
  <c r="AC10" i="12" s="1"/>
  <c r="AC11" i="12" s="1"/>
  <c r="AC12" i="12" s="1"/>
  <c r="AC13" i="12" s="1"/>
  <c r="AC14" i="12" s="1"/>
  <c r="AC15" i="12" s="1"/>
  <c r="AC16" i="12" s="1"/>
  <c r="AC17" i="12" s="1"/>
  <c r="AC18" i="12" s="1"/>
  <c r="AC19" i="12" s="1"/>
  <c r="AC20" i="12" s="1"/>
  <c r="AC21" i="12" s="1"/>
  <c r="AC22" i="12" s="1"/>
  <c r="AC23" i="12" s="1"/>
  <c r="AC24" i="12" s="1"/>
  <c r="AC25" i="12" s="1"/>
  <c r="AC26" i="12" s="1"/>
  <c r="AC27" i="12" s="1"/>
  <c r="AC28" i="12" s="1"/>
  <c r="AC29" i="12" s="1"/>
  <c r="AC30" i="12" s="1"/>
  <c r="AC31" i="12" s="1"/>
  <c r="AC32" i="12" s="1"/>
  <c r="AC33" i="12" s="1"/>
  <c r="AC34" i="12" s="1"/>
  <c r="AC35" i="12" s="1"/>
  <c r="AC36" i="12" s="1"/>
  <c r="AC37" i="12" s="1"/>
  <c r="AF37" i="13"/>
  <c r="AG7" i="13"/>
  <c r="AG8" i="13" s="1"/>
  <c r="AG9" i="13" s="1"/>
  <c r="AG10" i="13" s="1"/>
  <c r="AG11" i="13" s="1"/>
  <c r="AG12" i="13" s="1"/>
  <c r="AG13" i="13" s="1"/>
  <c r="AG14" i="13" s="1"/>
  <c r="AG15" i="13" s="1"/>
  <c r="AG16" i="13" s="1"/>
  <c r="AG17" i="13" s="1"/>
  <c r="AG18" i="13" s="1"/>
  <c r="AG19" i="13" s="1"/>
  <c r="AG20" i="13" s="1"/>
  <c r="AG21" i="13" s="1"/>
  <c r="AG22" i="13" s="1"/>
  <c r="AG23" i="13" s="1"/>
  <c r="AG24" i="13" s="1"/>
  <c r="AG25" i="13" s="1"/>
  <c r="AG26" i="13" s="1"/>
  <c r="AG27" i="13" s="1"/>
  <c r="AG28" i="13" s="1"/>
  <c r="AG29" i="13" s="1"/>
  <c r="AG30" i="13" s="1"/>
  <c r="AG31" i="13" s="1"/>
  <c r="AG32" i="13" s="1"/>
  <c r="AG33" i="13" s="1"/>
  <c r="AG34" i="13" s="1"/>
  <c r="AG35" i="13" s="1"/>
  <c r="AG36" i="13" s="1"/>
  <c r="AD38" i="14"/>
  <c r="AE20" i="14"/>
  <c r="AE21" i="14" s="1"/>
  <c r="AE22" i="14" s="1"/>
  <c r="AE23" i="14" s="1"/>
  <c r="AE24" i="14" s="1"/>
  <c r="AE25" i="14" s="1"/>
  <c r="AE26" i="14" s="1"/>
  <c r="AE27" i="14" s="1"/>
  <c r="AE28" i="14" s="1"/>
  <c r="AE29" i="14" s="1"/>
  <c r="AE30" i="14" s="1"/>
  <c r="AE31" i="14" s="1"/>
  <c r="AE32" i="14" s="1"/>
  <c r="AE33" i="14" s="1"/>
  <c r="AE34" i="14" s="1"/>
  <c r="AE35" i="14" s="1"/>
  <c r="AE36" i="14" s="1"/>
  <c r="AE37" i="14" s="1"/>
  <c r="AE7" i="14"/>
  <c r="AE8" i="14" s="1"/>
  <c r="AE9" i="14" s="1"/>
  <c r="AE10" i="14" s="1"/>
  <c r="AE11" i="14" s="1"/>
  <c r="AE12" i="14" s="1"/>
  <c r="AE13" i="14" s="1"/>
  <c r="AE14" i="14" s="1"/>
  <c r="AE15" i="14" s="1"/>
  <c r="AE16" i="14" s="1"/>
  <c r="AE17" i="14" s="1"/>
  <c r="AD38" i="16"/>
  <c r="AE7" i="16"/>
  <c r="AE8" i="16" s="1"/>
  <c r="AE9" i="16" s="1"/>
  <c r="AE10" i="16" s="1"/>
  <c r="AE11" i="16" s="1"/>
  <c r="AE12" i="16" s="1"/>
  <c r="AE13" i="16" s="1"/>
  <c r="AE14" i="16" s="1"/>
  <c r="AE15" i="16" s="1"/>
  <c r="AE16" i="16" s="1"/>
  <c r="AE17" i="16" s="1"/>
  <c r="AE18" i="16" s="1"/>
  <c r="AE19" i="16" s="1"/>
  <c r="AE20" i="16" s="1"/>
  <c r="AE21" i="16" s="1"/>
  <c r="AE22" i="16" s="1"/>
  <c r="AE23" i="16" s="1"/>
  <c r="AE24" i="16" s="1"/>
  <c r="AE25" i="16" s="1"/>
  <c r="AE26" i="16" s="1"/>
  <c r="AE27" i="16" s="1"/>
  <c r="AE28" i="16" s="1"/>
  <c r="AE29" i="16" s="1"/>
  <c r="AE30" i="16" s="1"/>
  <c r="AE31" i="16" s="1"/>
  <c r="AE32" i="16" s="1"/>
  <c r="AE33" i="16" s="1"/>
  <c r="AE34" i="16" s="1"/>
  <c r="AE35" i="16" s="1"/>
  <c r="AE36" i="16" s="1"/>
  <c r="C13" i="20" l="1"/>
  <c r="B14" i="20"/>
  <c r="W37" i="12"/>
  <c r="B15" i="20" l="1"/>
  <c r="C14" i="20"/>
  <c r="W36" i="12"/>
  <c r="W35" i="12"/>
  <c r="W34" i="12"/>
  <c r="W33" i="12"/>
  <c r="W32" i="12"/>
  <c r="W31" i="12"/>
  <c r="W30" i="12"/>
  <c r="W29" i="12"/>
  <c r="W28" i="12"/>
  <c r="W27" i="12"/>
  <c r="W26" i="12"/>
  <c r="W25" i="12"/>
  <c r="W24" i="12"/>
  <c r="W23" i="12"/>
  <c r="W22" i="12"/>
  <c r="W21" i="12"/>
  <c r="W20" i="12"/>
  <c r="W19" i="12"/>
  <c r="W18" i="12"/>
  <c r="W17" i="12"/>
  <c r="W16" i="12"/>
  <c r="W15" i="12"/>
  <c r="W14" i="12"/>
  <c r="W13" i="12"/>
  <c r="W12" i="12"/>
  <c r="W11" i="12"/>
  <c r="W10" i="12"/>
  <c r="W9" i="12"/>
  <c r="W8" i="12"/>
  <c r="W7" i="12"/>
  <c r="AM7" i="15"/>
  <c r="AO7" i="16"/>
  <c r="AO9" i="16"/>
  <c r="AO10" i="16"/>
  <c r="AO11" i="16"/>
  <c r="AO12" i="16"/>
  <c r="AO13" i="16"/>
  <c r="AO14" i="16"/>
  <c r="AO15" i="16"/>
  <c r="AO16" i="16"/>
  <c r="AO17" i="16"/>
  <c r="AO18" i="16"/>
  <c r="AO19" i="16"/>
  <c r="AO20" i="16"/>
  <c r="AO21" i="16"/>
  <c r="AO22" i="16"/>
  <c r="AO23" i="16"/>
  <c r="AO24" i="16"/>
  <c r="AO25" i="16"/>
  <c r="AO26" i="16"/>
  <c r="AO27" i="16"/>
  <c r="AO28" i="16"/>
  <c r="AO29" i="16"/>
  <c r="AO30" i="16"/>
  <c r="AO31" i="16"/>
  <c r="AO32" i="16"/>
  <c r="AO33" i="16"/>
  <c r="AO34" i="16"/>
  <c r="AO35" i="16"/>
  <c r="AO36" i="16"/>
  <c r="C15" i="20" l="1"/>
  <c r="B16" i="20"/>
  <c r="W38" i="12"/>
  <c r="AU7" i="18"/>
  <c r="AU8" i="18"/>
  <c r="AU9" i="18"/>
  <c r="AR10" i="18"/>
  <c r="AU10" i="18" s="1"/>
  <c r="AR11" i="18"/>
  <c r="AU11" i="18" s="1"/>
  <c r="AR12" i="18"/>
  <c r="AU12" i="18" s="1"/>
  <c r="AR13" i="18"/>
  <c r="AU13" i="18" s="1"/>
  <c r="AR14" i="18"/>
  <c r="AU14" i="18" s="1"/>
  <c r="AR15" i="18"/>
  <c r="AU15" i="18" s="1"/>
  <c r="AR16" i="18"/>
  <c r="AU16" i="18" s="1"/>
  <c r="AR17" i="18"/>
  <c r="AU17" i="18" s="1"/>
  <c r="AR18" i="18"/>
  <c r="AU18" i="18" s="1"/>
  <c r="AR19" i="18"/>
  <c r="AU19" i="18" s="1"/>
  <c r="AR20" i="18"/>
  <c r="AU20" i="18" s="1"/>
  <c r="AR21" i="18"/>
  <c r="AU21" i="18" s="1"/>
  <c r="AR22" i="18"/>
  <c r="AU22" i="18" s="1"/>
  <c r="AR23" i="18"/>
  <c r="AU23" i="18" s="1"/>
  <c r="AR24" i="18"/>
  <c r="AU24" i="18" s="1"/>
  <c r="AR25" i="18"/>
  <c r="AU25" i="18" s="1"/>
  <c r="AR36" i="18"/>
  <c r="AU36" i="18" s="1"/>
  <c r="AR35" i="18"/>
  <c r="AR34" i="18"/>
  <c r="AT33" i="18"/>
  <c r="AR33" i="18"/>
  <c r="AT32" i="18"/>
  <c r="AR32" i="18"/>
  <c r="AT31" i="18"/>
  <c r="AR31" i="18"/>
  <c r="AT30" i="18"/>
  <c r="AR30" i="18"/>
  <c r="AT29" i="18"/>
  <c r="AR29" i="18"/>
  <c r="AT28" i="18"/>
  <c r="AR28" i="18"/>
  <c r="AR27" i="18"/>
  <c r="AU27" i="18" s="1"/>
  <c r="AR26" i="18"/>
  <c r="AU26" i="18" s="1"/>
  <c r="AU29" i="18" l="1"/>
  <c r="AU31" i="18"/>
  <c r="AT38" i="18"/>
  <c r="B17" i="20"/>
  <c r="C16" i="20"/>
  <c r="AU33" i="18"/>
  <c r="AU35" i="18"/>
  <c r="AU28" i="18"/>
  <c r="AU30" i="18"/>
  <c r="AU32" i="18"/>
  <c r="AU34" i="18"/>
  <c r="AR38" i="18"/>
  <c r="AU36" i="16"/>
  <c r="AS36" i="16"/>
  <c r="AU35" i="16"/>
  <c r="AS35" i="16"/>
  <c r="AU34" i="16"/>
  <c r="AS34" i="16"/>
  <c r="AU33" i="16"/>
  <c r="AS33" i="16"/>
  <c r="AU32" i="16"/>
  <c r="AS32" i="16"/>
  <c r="AU31" i="16"/>
  <c r="AS31" i="16"/>
  <c r="AU30" i="16"/>
  <c r="AS30" i="16"/>
  <c r="AU29" i="16"/>
  <c r="AS29" i="16"/>
  <c r="AU28" i="16"/>
  <c r="AS28" i="16"/>
  <c r="AU27" i="16"/>
  <c r="AS27" i="16"/>
  <c r="AU26" i="16"/>
  <c r="AS26" i="16"/>
  <c r="AU25" i="16"/>
  <c r="AS25" i="16"/>
  <c r="AU24" i="16"/>
  <c r="AS24" i="16"/>
  <c r="AU23" i="16"/>
  <c r="AS23" i="16"/>
  <c r="AU22" i="16"/>
  <c r="AS22" i="16"/>
  <c r="AU21" i="16"/>
  <c r="AS21" i="16"/>
  <c r="AU20" i="16"/>
  <c r="AS20" i="16"/>
  <c r="AU19" i="16"/>
  <c r="AS19" i="16"/>
  <c r="AU18" i="16"/>
  <c r="AS18" i="16"/>
  <c r="AU17" i="16"/>
  <c r="AS17" i="16"/>
  <c r="AV17" i="16" s="1"/>
  <c r="AU16" i="16"/>
  <c r="AS16" i="16"/>
  <c r="AU15" i="16"/>
  <c r="AS15" i="16"/>
  <c r="AU14" i="16"/>
  <c r="AS14" i="16"/>
  <c r="AU13" i="16"/>
  <c r="AS13" i="16"/>
  <c r="AU12" i="16"/>
  <c r="AS12" i="16"/>
  <c r="AU11" i="16"/>
  <c r="AS11" i="16"/>
  <c r="AU10" i="16"/>
  <c r="AS10" i="16"/>
  <c r="AU9" i="16"/>
  <c r="AS9" i="16"/>
  <c r="AV9" i="16" s="1"/>
  <c r="AU8" i="16"/>
  <c r="AS8" i="16"/>
  <c r="AV7" i="16"/>
  <c r="AU38" i="18" l="1"/>
  <c r="R43" i="18" s="1"/>
  <c r="C17" i="20"/>
  <c r="B18" i="20"/>
  <c r="AU38" i="16"/>
  <c r="AV23" i="16"/>
  <c r="AV27" i="16"/>
  <c r="AV31" i="16"/>
  <c r="AS38" i="16"/>
  <c r="AV10" i="16"/>
  <c r="AV12" i="16"/>
  <c r="AV14" i="16"/>
  <c r="AV16" i="16"/>
  <c r="AV18" i="16"/>
  <c r="AV20" i="16"/>
  <c r="AV24" i="16"/>
  <c r="AV26" i="16"/>
  <c r="AV28" i="16"/>
  <c r="AV30" i="16"/>
  <c r="AV34" i="16"/>
  <c r="AV36" i="16"/>
  <c r="AV15" i="16"/>
  <c r="AV8" i="16"/>
  <c r="AV19" i="16"/>
  <c r="AV21" i="16"/>
  <c r="AV35" i="16"/>
  <c r="AV25" i="16"/>
  <c r="AV11" i="16"/>
  <c r="AV13" i="16"/>
  <c r="AV22" i="16"/>
  <c r="AV29" i="16"/>
  <c r="V7" i="16"/>
  <c r="V8" i="16"/>
  <c r="V9" i="16"/>
  <c r="V10" i="16"/>
  <c r="V11" i="16"/>
  <c r="V12" i="16"/>
  <c r="V13" i="16"/>
  <c r="V14" i="16"/>
  <c r="V15" i="16"/>
  <c r="V16" i="16"/>
  <c r="V17" i="16"/>
  <c r="V18" i="16"/>
  <c r="V19" i="16"/>
  <c r="V20" i="16"/>
  <c r="V21" i="16"/>
  <c r="V22" i="16"/>
  <c r="V23" i="16"/>
  <c r="V24" i="16"/>
  <c r="V25" i="16"/>
  <c r="V26" i="16"/>
  <c r="V27" i="16"/>
  <c r="V28" i="16"/>
  <c r="V29" i="16"/>
  <c r="V30" i="16"/>
  <c r="V31" i="16"/>
  <c r="V32" i="16"/>
  <c r="V33" i="16"/>
  <c r="V34" i="16"/>
  <c r="V35" i="16"/>
  <c r="V36" i="16"/>
  <c r="AV38" i="16" l="1"/>
  <c r="R43" i="16" s="1"/>
  <c r="C18" i="20"/>
  <c r="B19" i="20"/>
  <c r="S9" i="16"/>
  <c r="S10" i="16"/>
  <c r="S11" i="16"/>
  <c r="S12" i="16"/>
  <c r="S13" i="16"/>
  <c r="S14" i="16"/>
  <c r="S15" i="16"/>
  <c r="S16" i="16"/>
  <c r="S17" i="16"/>
  <c r="S18" i="16"/>
  <c r="S19" i="16"/>
  <c r="S20" i="16"/>
  <c r="S21" i="16"/>
  <c r="S22" i="16"/>
  <c r="S23" i="16"/>
  <c r="S24" i="16"/>
  <c r="S25" i="16"/>
  <c r="S26" i="16"/>
  <c r="S27" i="16"/>
  <c r="S28" i="16"/>
  <c r="S29" i="16"/>
  <c r="S30" i="16"/>
  <c r="S31" i="16"/>
  <c r="S32" i="16"/>
  <c r="S33" i="16"/>
  <c r="S34" i="16"/>
  <c r="S35" i="16"/>
  <c r="S36" i="16"/>
  <c r="S8" i="16"/>
  <c r="Q10" i="16"/>
  <c r="Q11" i="16"/>
  <c r="Q12" i="16"/>
  <c r="Q13" i="16"/>
  <c r="Q14" i="16"/>
  <c r="Q15" i="16"/>
  <c r="Q16" i="16"/>
  <c r="Q17" i="16"/>
  <c r="Q18" i="16"/>
  <c r="Q19" i="16"/>
  <c r="Q20" i="16"/>
  <c r="Q21" i="16"/>
  <c r="Q22" i="16"/>
  <c r="Q23" i="16"/>
  <c r="Q24" i="16"/>
  <c r="Q25" i="16"/>
  <c r="Q26" i="16"/>
  <c r="Q27" i="16"/>
  <c r="Q28" i="16"/>
  <c r="Q29" i="16"/>
  <c r="Q30" i="16"/>
  <c r="Q31" i="16"/>
  <c r="Q32" i="16"/>
  <c r="Q33" i="16"/>
  <c r="Q34" i="16"/>
  <c r="Q35" i="16"/>
  <c r="Q36" i="16"/>
  <c r="Q8" i="16"/>
  <c r="S38" i="16" l="1"/>
  <c r="C19" i="20"/>
  <c r="B20" i="20"/>
  <c r="Q38" i="16"/>
  <c r="Q38" i="18"/>
  <c r="S38" i="18"/>
  <c r="R42" i="16" l="1"/>
  <c r="R44" i="16" s="1"/>
  <c r="S39" i="18"/>
  <c r="R42" i="18"/>
  <c r="R44" i="18" s="1"/>
  <c r="C20" i="20"/>
  <c r="B21" i="20"/>
  <c r="AO37" i="15"/>
  <c r="AM37" i="15"/>
  <c r="AO36" i="15"/>
  <c r="AM36" i="15"/>
  <c r="AO35" i="15"/>
  <c r="AM35" i="15"/>
  <c r="AO34" i="15"/>
  <c r="AM34" i="15"/>
  <c r="AO33" i="15"/>
  <c r="AM33" i="15"/>
  <c r="AO32" i="15"/>
  <c r="AM32" i="15"/>
  <c r="AO31" i="15"/>
  <c r="AM31" i="15"/>
  <c r="AO30" i="15"/>
  <c r="AM30" i="15"/>
  <c r="AO29" i="15"/>
  <c r="AM29" i="15"/>
  <c r="AO28" i="15"/>
  <c r="AM28" i="15"/>
  <c r="AO27" i="15"/>
  <c r="AM27" i="15"/>
  <c r="AO26" i="15"/>
  <c r="AM26" i="15"/>
  <c r="AO25" i="15"/>
  <c r="AM25" i="15"/>
  <c r="AO24" i="15"/>
  <c r="AM24" i="15"/>
  <c r="AO23" i="15"/>
  <c r="AM23" i="15"/>
  <c r="AO22" i="15"/>
  <c r="AM22" i="15"/>
  <c r="AO21" i="15"/>
  <c r="AM21" i="15"/>
  <c r="AO20" i="15"/>
  <c r="AM20" i="15"/>
  <c r="AO19" i="15"/>
  <c r="AM19" i="15"/>
  <c r="AO18" i="15"/>
  <c r="AM18" i="15"/>
  <c r="AO17" i="15"/>
  <c r="AM17" i="15"/>
  <c r="AO16" i="15"/>
  <c r="AM16" i="15"/>
  <c r="AO15" i="15"/>
  <c r="AM15" i="15"/>
  <c r="AO14" i="15"/>
  <c r="AM14" i="15"/>
  <c r="AO13" i="15"/>
  <c r="AM13" i="15"/>
  <c r="AO12" i="15"/>
  <c r="AM12" i="15"/>
  <c r="AO11" i="15"/>
  <c r="AM11" i="15"/>
  <c r="AO10" i="15"/>
  <c r="AM10" i="15"/>
  <c r="AO9" i="15"/>
  <c r="AM9" i="15"/>
  <c r="AO8" i="15"/>
  <c r="AM8" i="15"/>
  <c r="AL38" i="18"/>
  <c r="AM36" i="16"/>
  <c r="AM35" i="16"/>
  <c r="AM34" i="16"/>
  <c r="AM33" i="16"/>
  <c r="AM32" i="16"/>
  <c r="AM31" i="16"/>
  <c r="AM30" i="16"/>
  <c r="AM29" i="16"/>
  <c r="AM28" i="16"/>
  <c r="AM27" i="16"/>
  <c r="AM26" i="16"/>
  <c r="AM25" i="16"/>
  <c r="AM24" i="16"/>
  <c r="AM23" i="16"/>
  <c r="AM22" i="16"/>
  <c r="AM21" i="16"/>
  <c r="AM20" i="16"/>
  <c r="AM19" i="16"/>
  <c r="AM18" i="16"/>
  <c r="AM17" i="16"/>
  <c r="AM16" i="16"/>
  <c r="AM15" i="16"/>
  <c r="AM14" i="16"/>
  <c r="AM13" i="16"/>
  <c r="AM12" i="16"/>
  <c r="AM11" i="16"/>
  <c r="AM10" i="16"/>
  <c r="AM9" i="16"/>
  <c r="AO8" i="16"/>
  <c r="AM8" i="16"/>
  <c r="AO37" i="14"/>
  <c r="AO36" i="14"/>
  <c r="AO35" i="14"/>
  <c r="AM35" i="14"/>
  <c r="AO34" i="14"/>
  <c r="AM34" i="14"/>
  <c r="AO33" i="14"/>
  <c r="AM33" i="14"/>
  <c r="AO32" i="14"/>
  <c r="AM32" i="14"/>
  <c r="AO31" i="14"/>
  <c r="AM31" i="14"/>
  <c r="AO30" i="14"/>
  <c r="AM30" i="14"/>
  <c r="AO29" i="14"/>
  <c r="AM29" i="14"/>
  <c r="AO28" i="14"/>
  <c r="AM28" i="14"/>
  <c r="AO27" i="14"/>
  <c r="AM27" i="14"/>
  <c r="AO26" i="14"/>
  <c r="AM26" i="14"/>
  <c r="AO25" i="14"/>
  <c r="AM25" i="14"/>
  <c r="AO24" i="14"/>
  <c r="AM24" i="14"/>
  <c r="AO23" i="14"/>
  <c r="AM23" i="14"/>
  <c r="AO22" i="14"/>
  <c r="AM22" i="14"/>
  <c r="AO21" i="14"/>
  <c r="AM21" i="14"/>
  <c r="AO20" i="14"/>
  <c r="AM20" i="14"/>
  <c r="AO19" i="14"/>
  <c r="AM19" i="14"/>
  <c r="AO18" i="14"/>
  <c r="AM18" i="14"/>
  <c r="AO17" i="14"/>
  <c r="AM17" i="14"/>
  <c r="AO16" i="14"/>
  <c r="AM16" i="14"/>
  <c r="AO15" i="14"/>
  <c r="AM15" i="14"/>
  <c r="AO14" i="14"/>
  <c r="AM14" i="14"/>
  <c r="AO13" i="14"/>
  <c r="AM13" i="14"/>
  <c r="AO12" i="14"/>
  <c r="AM12" i="14"/>
  <c r="AO11" i="14"/>
  <c r="AM11" i="14"/>
  <c r="AO10" i="14"/>
  <c r="AM10" i="14"/>
  <c r="AO9" i="14"/>
  <c r="AM9" i="14"/>
  <c r="AO8" i="14"/>
  <c r="AM8" i="14"/>
  <c r="AO7" i="14"/>
  <c r="AM7" i="14"/>
  <c r="AO38" i="15" l="1"/>
  <c r="AM38" i="14"/>
  <c r="B22" i="20"/>
  <c r="C21" i="20"/>
  <c r="AO38" i="14"/>
  <c r="AM38" i="15"/>
  <c r="AM38" i="16"/>
  <c r="AO38" i="16"/>
  <c r="L38" i="16"/>
  <c r="C22" i="20" l="1"/>
  <c r="B23" i="20"/>
  <c r="AC38" i="16"/>
  <c r="AG38" i="16"/>
  <c r="AJ32" i="18"/>
  <c r="AJ33" i="18" s="1"/>
  <c r="AJ34" i="18" s="1"/>
  <c r="AJ35" i="18" s="1"/>
  <c r="AJ36" i="18" s="1"/>
  <c r="AI38" i="18"/>
  <c r="AB38" i="18"/>
  <c r="AA38" i="18"/>
  <c r="Z38" i="18"/>
  <c r="U38" i="18"/>
  <c r="T38" i="18"/>
  <c r="O38" i="18"/>
  <c r="H38" i="18"/>
  <c r="F38" i="18"/>
  <c r="D38" i="18"/>
  <c r="Y37" i="18"/>
  <c r="V37" i="18"/>
  <c r="Y36" i="18"/>
  <c r="V36" i="18"/>
  <c r="Y35" i="18"/>
  <c r="V35" i="18"/>
  <c r="Y34" i="18"/>
  <c r="V34" i="18"/>
  <c r="Y33" i="18"/>
  <c r="V33" i="18"/>
  <c r="Y32" i="18"/>
  <c r="V32" i="18"/>
  <c r="G38" i="18"/>
  <c r="B24" i="20" l="1"/>
  <c r="C23" i="20"/>
  <c r="L38" i="18"/>
  <c r="J38" i="18"/>
  <c r="V38" i="18"/>
  <c r="Y38" i="18"/>
  <c r="J30" i="16"/>
  <c r="Y30" i="16"/>
  <c r="B25" i="20" l="1"/>
  <c r="C24" i="20"/>
  <c r="B26" i="20" l="1"/>
  <c r="C25" i="20"/>
  <c r="AN37" i="13"/>
  <c r="B27" i="20" l="1"/>
  <c r="C26" i="20"/>
  <c r="B28" i="20" l="1"/>
  <c r="C27" i="20"/>
  <c r="B29" i="20" l="1"/>
  <c r="C28" i="20"/>
  <c r="B30" i="20" l="1"/>
  <c r="C29" i="20"/>
  <c r="O38" i="15"/>
  <c r="K38" i="15"/>
  <c r="H38" i="15"/>
  <c r="F38" i="15"/>
  <c r="E38" i="15"/>
  <c r="D38" i="15"/>
  <c r="Q38" i="15"/>
  <c r="J38" i="15"/>
  <c r="G6" i="15"/>
  <c r="Q37" i="14"/>
  <c r="S36" i="14"/>
  <c r="Q36" i="14"/>
  <c r="S35" i="14"/>
  <c r="Q35" i="14"/>
  <c r="S34" i="14"/>
  <c r="Q34" i="14"/>
  <c r="S33" i="14"/>
  <c r="Q33" i="14"/>
  <c r="S32" i="14"/>
  <c r="Q32" i="14"/>
  <c r="S31" i="14"/>
  <c r="Q31" i="14"/>
  <c r="S30" i="14"/>
  <c r="Q30" i="14"/>
  <c r="S29" i="14"/>
  <c r="Q29" i="14"/>
  <c r="S28" i="14"/>
  <c r="Q28" i="14"/>
  <c r="S27" i="14"/>
  <c r="Q27" i="14"/>
  <c r="S26" i="14"/>
  <c r="Q26" i="14"/>
  <c r="S25" i="14"/>
  <c r="Q25" i="14"/>
  <c r="S24" i="14"/>
  <c r="Q24" i="14"/>
  <c r="S23" i="14"/>
  <c r="Q23" i="14"/>
  <c r="S22" i="14"/>
  <c r="Q22" i="14"/>
  <c r="S21" i="14"/>
  <c r="Q21" i="14"/>
  <c r="S20" i="14"/>
  <c r="Q20" i="14"/>
  <c r="S19" i="14"/>
  <c r="Q19" i="14"/>
  <c r="S18" i="14"/>
  <c r="Q18" i="14"/>
  <c r="S17" i="14"/>
  <c r="Q17" i="14"/>
  <c r="S16" i="14"/>
  <c r="Q16" i="14"/>
  <c r="S15" i="14"/>
  <c r="Q15" i="14"/>
  <c r="S14" i="14"/>
  <c r="Q14" i="14"/>
  <c r="S13" i="14"/>
  <c r="Q13" i="14"/>
  <c r="S12" i="14"/>
  <c r="Q12" i="14"/>
  <c r="S11" i="14"/>
  <c r="Q11" i="14"/>
  <c r="S10" i="14"/>
  <c r="Q10" i="14"/>
  <c r="S9" i="14"/>
  <c r="Q9" i="14"/>
  <c r="S8" i="14"/>
  <c r="Q8" i="14"/>
  <c r="S7" i="14"/>
  <c r="Q38" i="14"/>
  <c r="L37" i="14"/>
  <c r="L36" i="14"/>
  <c r="J36" i="14"/>
  <c r="L35" i="14"/>
  <c r="J35" i="14"/>
  <c r="L34" i="14"/>
  <c r="J34" i="14"/>
  <c r="L33" i="14"/>
  <c r="J33" i="14"/>
  <c r="L32" i="14"/>
  <c r="J32" i="14"/>
  <c r="L31" i="14"/>
  <c r="J31" i="14"/>
  <c r="L30" i="14"/>
  <c r="J30" i="14"/>
  <c r="L29" i="14"/>
  <c r="J29" i="14"/>
  <c r="L28" i="14"/>
  <c r="J28" i="14"/>
  <c r="L27" i="14"/>
  <c r="J27" i="14"/>
  <c r="L26" i="14"/>
  <c r="J26" i="14"/>
  <c r="L25" i="14"/>
  <c r="J25" i="14"/>
  <c r="L24" i="14"/>
  <c r="J24" i="14"/>
  <c r="L23" i="14"/>
  <c r="J23" i="14"/>
  <c r="L22" i="14"/>
  <c r="J22" i="14"/>
  <c r="L21" i="14"/>
  <c r="J21" i="14"/>
  <c r="L20" i="14"/>
  <c r="J20" i="14"/>
  <c r="L19" i="14"/>
  <c r="J19" i="14"/>
  <c r="L18" i="14"/>
  <c r="J18" i="14"/>
  <c r="L17" i="14"/>
  <c r="J17" i="14"/>
  <c r="L16" i="14"/>
  <c r="J16" i="14"/>
  <c r="L15" i="14"/>
  <c r="J15" i="14"/>
  <c r="L14" i="14"/>
  <c r="J14" i="14"/>
  <c r="L13" i="14"/>
  <c r="J13" i="14"/>
  <c r="L12" i="14"/>
  <c r="J12" i="14"/>
  <c r="L11" i="14"/>
  <c r="J11" i="14"/>
  <c r="L10" i="14"/>
  <c r="J10" i="14"/>
  <c r="L9" i="14"/>
  <c r="J9" i="14"/>
  <c r="L8" i="14"/>
  <c r="J8" i="14"/>
  <c r="L7" i="14"/>
  <c r="J7" i="14"/>
  <c r="J7" i="13"/>
  <c r="L7" i="13"/>
  <c r="J8" i="13"/>
  <c r="L8" i="13"/>
  <c r="J9" i="13"/>
  <c r="L9" i="13"/>
  <c r="J10" i="13"/>
  <c r="L10" i="13"/>
  <c r="J11" i="13"/>
  <c r="L11" i="13"/>
  <c r="J12" i="13"/>
  <c r="L12" i="13"/>
  <c r="J13" i="13"/>
  <c r="L13" i="13"/>
  <c r="J14" i="13"/>
  <c r="L14" i="13"/>
  <c r="J15" i="13"/>
  <c r="L15" i="13"/>
  <c r="J16" i="13"/>
  <c r="L16" i="13"/>
  <c r="J17" i="13"/>
  <c r="L17" i="13"/>
  <c r="J18" i="13"/>
  <c r="L18" i="13"/>
  <c r="J19" i="13"/>
  <c r="L19" i="13"/>
  <c r="J20" i="13"/>
  <c r="L20" i="13"/>
  <c r="J21" i="13"/>
  <c r="L21" i="13"/>
  <c r="J22" i="13"/>
  <c r="L22" i="13"/>
  <c r="J23" i="13"/>
  <c r="L23" i="13"/>
  <c r="J24" i="13"/>
  <c r="L24" i="13"/>
  <c r="J25" i="13"/>
  <c r="L25" i="13"/>
  <c r="J26" i="13"/>
  <c r="L26" i="13"/>
  <c r="J27" i="13"/>
  <c r="L27" i="13"/>
  <c r="J28" i="13"/>
  <c r="L28" i="13"/>
  <c r="J29" i="13"/>
  <c r="L29" i="13"/>
  <c r="J30" i="13"/>
  <c r="L30" i="13"/>
  <c r="J31" i="13"/>
  <c r="L31" i="13"/>
  <c r="J32" i="13"/>
  <c r="L32" i="13"/>
  <c r="J33" i="13"/>
  <c r="L33" i="13"/>
  <c r="J34" i="13"/>
  <c r="L34" i="13"/>
  <c r="J35" i="13"/>
  <c r="L35" i="13"/>
  <c r="J36" i="13"/>
  <c r="L36" i="13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H38" i="14"/>
  <c r="B31" i="20" l="1"/>
  <c r="C30" i="20"/>
  <c r="S38" i="14"/>
  <c r="S38" i="15"/>
  <c r="G38" i="15"/>
  <c r="B32" i="20" l="1"/>
  <c r="C31" i="20"/>
  <c r="Y19" i="15"/>
  <c r="V19" i="15"/>
  <c r="Y18" i="15"/>
  <c r="V18" i="15"/>
  <c r="Y17" i="15"/>
  <c r="V17" i="15"/>
  <c r="Y16" i="15"/>
  <c r="V16" i="15"/>
  <c r="Y15" i="15"/>
  <c r="V15" i="15"/>
  <c r="Y14" i="15"/>
  <c r="V14" i="15"/>
  <c r="Y13" i="15"/>
  <c r="V13" i="15"/>
  <c r="Y12" i="15"/>
  <c r="V12" i="15"/>
  <c r="Y11" i="15"/>
  <c r="V11" i="15"/>
  <c r="Y10" i="15"/>
  <c r="V10" i="15"/>
  <c r="Y9" i="15"/>
  <c r="V9" i="15"/>
  <c r="Y8" i="15"/>
  <c r="V8" i="15"/>
  <c r="Y7" i="15"/>
  <c r="V7" i="15"/>
  <c r="B33" i="20" l="1"/>
  <c r="C32" i="20"/>
  <c r="AB38" i="16"/>
  <c r="AA38" i="16"/>
  <c r="Z38" i="16"/>
  <c r="U38" i="16"/>
  <c r="T38" i="16"/>
  <c r="O38" i="16"/>
  <c r="H38" i="16"/>
  <c r="F38" i="16"/>
  <c r="D38" i="16"/>
  <c r="Y37" i="16"/>
  <c r="V37" i="16"/>
  <c r="J37" i="16"/>
  <c r="Y36" i="16"/>
  <c r="J36" i="16"/>
  <c r="Y35" i="16"/>
  <c r="J35" i="16"/>
  <c r="Y34" i="16"/>
  <c r="J34" i="16"/>
  <c r="Y33" i="16"/>
  <c r="J33" i="16"/>
  <c r="Y32" i="16"/>
  <c r="J32" i="16"/>
  <c r="Y31" i="16"/>
  <c r="J31" i="16"/>
  <c r="Y29" i="16"/>
  <c r="J29" i="16"/>
  <c r="Y28" i="16"/>
  <c r="J28" i="16"/>
  <c r="Y27" i="16"/>
  <c r="J27" i="16"/>
  <c r="Y26" i="16"/>
  <c r="J26" i="16"/>
  <c r="Y25" i="16"/>
  <c r="J25" i="16"/>
  <c r="Y24" i="16"/>
  <c r="J24" i="16"/>
  <c r="Y23" i="16"/>
  <c r="J23" i="16"/>
  <c r="Y22" i="16"/>
  <c r="J22" i="16"/>
  <c r="Y21" i="16"/>
  <c r="J21" i="16"/>
  <c r="Y20" i="16"/>
  <c r="J20" i="16"/>
  <c r="Y19" i="16"/>
  <c r="J19" i="16"/>
  <c r="G38" i="16"/>
  <c r="Y18" i="16"/>
  <c r="Y17" i="16"/>
  <c r="Y16" i="16"/>
  <c r="Y15" i="16"/>
  <c r="Y14" i="16"/>
  <c r="Y13" i="16"/>
  <c r="Y12" i="16"/>
  <c r="Y11" i="16"/>
  <c r="Y10" i="16"/>
  <c r="Y9" i="16"/>
  <c r="Y8" i="16"/>
  <c r="B8" i="16"/>
  <c r="C8" i="16" s="1"/>
  <c r="AH7" i="16"/>
  <c r="AH8" i="16" s="1"/>
  <c r="AH9" i="16" s="1"/>
  <c r="AH10" i="16" s="1"/>
  <c r="AH11" i="16" s="1"/>
  <c r="AH12" i="16" s="1"/>
  <c r="AH13" i="16" s="1"/>
  <c r="AH14" i="16" s="1"/>
  <c r="AH15" i="16" s="1"/>
  <c r="AH16" i="16" s="1"/>
  <c r="AH17" i="16" s="1"/>
  <c r="AH18" i="16" s="1"/>
  <c r="AH19" i="16" s="1"/>
  <c r="AH20" i="16" s="1"/>
  <c r="AH21" i="16" s="1"/>
  <c r="AH22" i="16" s="1"/>
  <c r="AH23" i="16" s="1"/>
  <c r="AH24" i="16" s="1"/>
  <c r="AH25" i="16" s="1"/>
  <c r="AH26" i="16" s="1"/>
  <c r="AH27" i="16" s="1"/>
  <c r="AH28" i="16" s="1"/>
  <c r="AH29" i="16" s="1"/>
  <c r="AH30" i="16" s="1"/>
  <c r="AH31" i="16" s="1"/>
  <c r="AH32" i="16" s="1"/>
  <c r="AH33" i="16" s="1"/>
  <c r="AH34" i="16" s="1"/>
  <c r="AH35" i="16" s="1"/>
  <c r="AH36" i="16" s="1"/>
  <c r="Y7" i="16"/>
  <c r="C7" i="16"/>
  <c r="AG38" i="15"/>
  <c r="AC38" i="15"/>
  <c r="AB38" i="15"/>
  <c r="AA38" i="15"/>
  <c r="Z38" i="15"/>
  <c r="U38" i="15"/>
  <c r="T38" i="15"/>
  <c r="Y37" i="15"/>
  <c r="V37" i="15"/>
  <c r="Y36" i="15"/>
  <c r="V36" i="15"/>
  <c r="Y35" i="15"/>
  <c r="V35" i="15"/>
  <c r="Y34" i="15"/>
  <c r="V34" i="15"/>
  <c r="Y33" i="15"/>
  <c r="V33" i="15"/>
  <c r="Y32" i="15"/>
  <c r="V32" i="15"/>
  <c r="Y31" i="15"/>
  <c r="V31" i="15"/>
  <c r="Y30" i="15"/>
  <c r="V30" i="15"/>
  <c r="Y29" i="15"/>
  <c r="V29" i="15"/>
  <c r="Y28" i="15"/>
  <c r="V28" i="15"/>
  <c r="Y27" i="15"/>
  <c r="V27" i="15"/>
  <c r="Y26" i="15"/>
  <c r="V26" i="15"/>
  <c r="Y25" i="15"/>
  <c r="V25" i="15"/>
  <c r="Y24" i="15"/>
  <c r="V24" i="15"/>
  <c r="Y23" i="15"/>
  <c r="V23" i="15"/>
  <c r="Y22" i="15"/>
  <c r="V22" i="15"/>
  <c r="Y21" i="15"/>
  <c r="V21" i="15"/>
  <c r="Y20" i="15"/>
  <c r="V20" i="15"/>
  <c r="B8" i="15"/>
  <c r="C8" i="15" s="1"/>
  <c r="AH7" i="15"/>
  <c r="AH8" i="15" s="1"/>
  <c r="AH9" i="15" s="1"/>
  <c r="AH10" i="15" s="1"/>
  <c r="AH11" i="15" s="1"/>
  <c r="AH12" i="15" s="1"/>
  <c r="AH13" i="15" s="1"/>
  <c r="AH14" i="15" s="1"/>
  <c r="AH15" i="15" s="1"/>
  <c r="AH16" i="15" s="1"/>
  <c r="AH17" i="15" s="1"/>
  <c r="AH18" i="15" s="1"/>
  <c r="AH19" i="15" s="1"/>
  <c r="AH20" i="15" s="1"/>
  <c r="AH21" i="15" s="1"/>
  <c r="AH22" i="15" s="1"/>
  <c r="AH23" i="15" s="1"/>
  <c r="AH24" i="15" s="1"/>
  <c r="C7" i="15"/>
  <c r="B34" i="20" l="1"/>
  <c r="C33" i="20"/>
  <c r="B9" i="16"/>
  <c r="B10" i="16" s="1"/>
  <c r="C10" i="16" s="1"/>
  <c r="J38" i="16"/>
  <c r="V38" i="16"/>
  <c r="Y38" i="16"/>
  <c r="V38" i="15"/>
  <c r="AH25" i="15"/>
  <c r="AH26" i="15" s="1"/>
  <c r="AH27" i="15" s="1"/>
  <c r="AH28" i="15" s="1"/>
  <c r="AH29" i="15" s="1"/>
  <c r="AH30" i="15" s="1"/>
  <c r="AH31" i="15" s="1"/>
  <c r="AH32" i="15" s="1"/>
  <c r="AH33" i="15" s="1"/>
  <c r="AH34" i="15" s="1"/>
  <c r="AH35" i="15" s="1"/>
  <c r="AH36" i="15" s="1"/>
  <c r="Y38" i="15"/>
  <c r="B9" i="15"/>
  <c r="C9" i="16" l="1"/>
  <c r="B11" i="16"/>
  <c r="B35" i="20"/>
  <c r="C34" i="20"/>
  <c r="B12" i="16"/>
  <c r="C11" i="16"/>
  <c r="C9" i="15"/>
  <c r="B10" i="15"/>
  <c r="B36" i="20" l="1"/>
  <c r="C35" i="20"/>
  <c r="C12" i="16"/>
  <c r="B13" i="16"/>
  <c r="C10" i="15"/>
  <c r="B11" i="15"/>
  <c r="C36" i="20" l="1"/>
  <c r="B14" i="16"/>
  <c r="C13" i="16"/>
  <c r="C11" i="15"/>
  <c r="B12" i="15"/>
  <c r="C14" i="16" l="1"/>
  <c r="B15" i="16"/>
  <c r="C12" i="15"/>
  <c r="B13" i="15"/>
  <c r="B16" i="16" l="1"/>
  <c r="C15" i="16"/>
  <c r="B14" i="15"/>
  <c r="C13" i="15"/>
  <c r="C16" i="16" l="1"/>
  <c r="B17" i="16"/>
  <c r="C14" i="15"/>
  <c r="B15" i="15"/>
  <c r="B18" i="16" l="1"/>
  <c r="C17" i="16"/>
  <c r="C15" i="15"/>
  <c r="B16" i="15"/>
  <c r="C18" i="16" l="1"/>
  <c r="B19" i="16"/>
  <c r="C16" i="15"/>
  <c r="B17" i="15"/>
  <c r="B20" i="16" l="1"/>
  <c r="C19" i="16"/>
  <c r="B18" i="15"/>
  <c r="C17" i="15"/>
  <c r="C20" i="16" l="1"/>
  <c r="B21" i="16"/>
  <c r="C18" i="15"/>
  <c r="B19" i="15"/>
  <c r="B22" i="16" l="1"/>
  <c r="C21" i="16"/>
  <c r="B20" i="15"/>
  <c r="C19" i="15"/>
  <c r="B32" i="18" l="1"/>
  <c r="C22" i="16"/>
  <c r="B23" i="16"/>
  <c r="C20" i="15"/>
  <c r="B21" i="15"/>
  <c r="B33" i="18" l="1"/>
  <c r="C32" i="18"/>
  <c r="B24" i="16"/>
  <c r="C23" i="16"/>
  <c r="B22" i="15"/>
  <c r="C21" i="15"/>
  <c r="B34" i="18" l="1"/>
  <c r="C33" i="18"/>
  <c r="B25" i="16"/>
  <c r="C24" i="16"/>
  <c r="C22" i="15"/>
  <c r="B23" i="15"/>
  <c r="B35" i="18" l="1"/>
  <c r="C34" i="18"/>
  <c r="C25" i="16"/>
  <c r="B26" i="16"/>
  <c r="B24" i="15"/>
  <c r="C23" i="15"/>
  <c r="B36" i="18" l="1"/>
  <c r="C35" i="18"/>
  <c r="B27" i="16"/>
  <c r="C26" i="16"/>
  <c r="B25" i="15"/>
  <c r="C24" i="15"/>
  <c r="B37" i="18" l="1"/>
  <c r="C37" i="18" s="1"/>
  <c r="C36" i="18"/>
  <c r="B28" i="16"/>
  <c r="C27" i="16"/>
  <c r="B26" i="15"/>
  <c r="C25" i="15"/>
  <c r="B29" i="16" l="1"/>
  <c r="B30" i="16" s="1"/>
  <c r="C30" i="16" s="1"/>
  <c r="C28" i="16"/>
  <c r="B27" i="15"/>
  <c r="C26" i="15"/>
  <c r="C29" i="16" l="1"/>
  <c r="B28" i="15"/>
  <c r="C27" i="15"/>
  <c r="B31" i="16" l="1"/>
  <c r="B29" i="15"/>
  <c r="C28" i="15"/>
  <c r="B32" i="16" l="1"/>
  <c r="C31" i="16"/>
  <c r="B30" i="15"/>
  <c r="C29" i="15"/>
  <c r="B33" i="16" l="1"/>
  <c r="C32" i="16"/>
  <c r="B31" i="15"/>
  <c r="C30" i="15"/>
  <c r="C33" i="16" l="1"/>
  <c r="B34" i="16"/>
  <c r="B32" i="15"/>
  <c r="C31" i="15"/>
  <c r="B35" i="16" l="1"/>
  <c r="C34" i="16"/>
  <c r="B33" i="15"/>
  <c r="C32" i="15"/>
  <c r="C35" i="16" l="1"/>
  <c r="B36" i="16"/>
  <c r="B34" i="15"/>
  <c r="C33" i="15"/>
  <c r="C36" i="16" l="1"/>
  <c r="B35" i="15"/>
  <c r="C34" i="15"/>
  <c r="C35" i="15" l="1"/>
  <c r="B36" i="15"/>
  <c r="B37" i="15" l="1"/>
  <c r="C37" i="15" s="1"/>
  <c r="C36" i="15"/>
  <c r="Y31" i="14" l="1"/>
  <c r="Y32" i="14"/>
  <c r="Y33" i="14"/>
  <c r="Y34" i="14"/>
  <c r="Y35" i="14"/>
  <c r="Y36" i="14"/>
  <c r="Y37" i="14"/>
  <c r="Y23" i="14" l="1"/>
  <c r="Y24" i="14"/>
  <c r="Y25" i="14"/>
  <c r="Y26" i="14"/>
  <c r="Y27" i="14"/>
  <c r="Y28" i="14"/>
  <c r="Y29" i="14"/>
  <c r="Y30" i="14"/>
  <c r="Y19" i="14" l="1"/>
  <c r="Y20" i="14"/>
  <c r="Y21" i="14"/>
  <c r="Y22" i="14"/>
  <c r="J38" i="14" l="1"/>
  <c r="C7" i="14"/>
  <c r="B8" i="14"/>
  <c r="B9" i="14" s="1"/>
  <c r="D38" i="14"/>
  <c r="F38" i="14"/>
  <c r="G38" i="14"/>
  <c r="V7" i="14"/>
  <c r="Y7" i="14"/>
  <c r="V8" i="14"/>
  <c r="Y8" i="14"/>
  <c r="V9" i="14"/>
  <c r="Y9" i="14"/>
  <c r="V10" i="14"/>
  <c r="Y10" i="14"/>
  <c r="V11" i="14"/>
  <c r="Y11" i="14"/>
  <c r="V12" i="14"/>
  <c r="Y12" i="14"/>
  <c r="V13" i="14"/>
  <c r="Y13" i="14"/>
  <c r="V14" i="14"/>
  <c r="Y14" i="14"/>
  <c r="V15" i="14"/>
  <c r="Y15" i="14"/>
  <c r="V16" i="14"/>
  <c r="Y16" i="14"/>
  <c r="V17" i="14"/>
  <c r="Y17" i="14"/>
  <c r="V18" i="14"/>
  <c r="Y18" i="14"/>
  <c r="V19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V32" i="14"/>
  <c r="V33" i="14"/>
  <c r="V34" i="14"/>
  <c r="V35" i="14"/>
  <c r="V36" i="14"/>
  <c r="V37" i="14"/>
  <c r="O38" i="14"/>
  <c r="T38" i="14"/>
  <c r="U38" i="14"/>
  <c r="Z38" i="14"/>
  <c r="AA38" i="14"/>
  <c r="AB38" i="14"/>
  <c r="AC38" i="14"/>
  <c r="P36" i="13"/>
  <c r="P35" i="13"/>
  <c r="P34" i="13"/>
  <c r="P33" i="13"/>
  <c r="P32" i="13"/>
  <c r="P31" i="13"/>
  <c r="P30" i="13"/>
  <c r="P29" i="13"/>
  <c r="P28" i="13"/>
  <c r="P27" i="13"/>
  <c r="P26" i="13"/>
  <c r="P25" i="13"/>
  <c r="P24" i="13"/>
  <c r="P23" i="13"/>
  <c r="P22" i="13"/>
  <c r="P21" i="13"/>
  <c r="P20" i="13"/>
  <c r="P19" i="13"/>
  <c r="P18" i="13"/>
  <c r="P17" i="13"/>
  <c r="P16" i="13"/>
  <c r="P15" i="13"/>
  <c r="P14" i="13"/>
  <c r="J37" i="13"/>
  <c r="P13" i="13"/>
  <c r="P12" i="13"/>
  <c r="P11" i="13"/>
  <c r="P10" i="13"/>
  <c r="P9" i="13"/>
  <c r="P8" i="13"/>
  <c r="P7" i="13"/>
  <c r="G36" i="13"/>
  <c r="G35" i="13"/>
  <c r="G34" i="13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37" i="12"/>
  <c r="G36" i="12"/>
  <c r="G35" i="12"/>
  <c r="G34" i="12"/>
  <c r="G33" i="12"/>
  <c r="G32" i="12"/>
  <c r="G31" i="12"/>
  <c r="G30" i="12"/>
  <c r="G29" i="12"/>
  <c r="G28" i="12"/>
  <c r="G27" i="12"/>
  <c r="G26" i="12"/>
  <c r="G25" i="12"/>
  <c r="G24" i="12"/>
  <c r="L37" i="12"/>
  <c r="L36" i="12"/>
  <c r="L35" i="12"/>
  <c r="L34" i="12"/>
  <c r="L33" i="12"/>
  <c r="L32" i="12"/>
  <c r="L31" i="12"/>
  <c r="L30" i="12"/>
  <c r="L29" i="12"/>
  <c r="L28" i="12"/>
  <c r="L27" i="12"/>
  <c r="L26" i="12"/>
  <c r="L25" i="12"/>
  <c r="L24" i="12"/>
  <c r="L23" i="12"/>
  <c r="Y38" i="14" l="1"/>
  <c r="P37" i="13"/>
  <c r="C8" i="14"/>
  <c r="B10" i="14"/>
  <c r="C10" i="14" s="1"/>
  <c r="C9" i="14"/>
  <c r="V38" i="14"/>
  <c r="B11" i="14" l="1"/>
  <c r="B12" i="14" s="1"/>
  <c r="C11" i="14" l="1"/>
  <c r="C12" i="14"/>
  <c r="B13" i="14"/>
  <c r="B14" i="14" l="1"/>
  <c r="C13" i="14"/>
  <c r="C14" i="14" l="1"/>
  <c r="B15" i="14"/>
  <c r="B16" i="14" l="1"/>
  <c r="C15" i="14"/>
  <c r="C16" i="14" l="1"/>
  <c r="B17" i="14"/>
  <c r="B18" i="14" l="1"/>
  <c r="C17" i="14"/>
  <c r="C18" i="14" l="1"/>
  <c r="B19" i="14"/>
  <c r="B20" i="14" l="1"/>
  <c r="C19" i="14"/>
  <c r="C20" i="14" l="1"/>
  <c r="B21" i="14"/>
  <c r="B22" i="14" l="1"/>
  <c r="C21" i="14"/>
  <c r="C22" i="14" l="1"/>
  <c r="B23" i="14"/>
  <c r="AA36" i="13"/>
  <c r="X36" i="13"/>
  <c r="AA35" i="13"/>
  <c r="X35" i="13"/>
  <c r="AA34" i="13"/>
  <c r="X34" i="13"/>
  <c r="AA33" i="13"/>
  <c r="X33" i="13"/>
  <c r="AA32" i="13"/>
  <c r="X32" i="13"/>
  <c r="AA31" i="13"/>
  <c r="X31" i="13"/>
  <c r="AA30" i="13"/>
  <c r="X30" i="13"/>
  <c r="AA29" i="13"/>
  <c r="X29" i="13"/>
  <c r="AA28" i="13"/>
  <c r="X28" i="13"/>
  <c r="AA27" i="13"/>
  <c r="X27" i="13"/>
  <c r="AA26" i="13"/>
  <c r="X26" i="13"/>
  <c r="AA25" i="13"/>
  <c r="X25" i="13"/>
  <c r="AA24" i="13"/>
  <c r="X24" i="13"/>
  <c r="AA23" i="13"/>
  <c r="X23" i="13"/>
  <c r="AA22" i="13"/>
  <c r="X22" i="13"/>
  <c r="AA21" i="13"/>
  <c r="X21" i="13"/>
  <c r="AA20" i="13"/>
  <c r="X20" i="13"/>
  <c r="AA19" i="13"/>
  <c r="X19" i="13"/>
  <c r="AA18" i="13"/>
  <c r="X18" i="13"/>
  <c r="AA17" i="13"/>
  <c r="X17" i="13"/>
  <c r="AA16" i="13"/>
  <c r="X16" i="13"/>
  <c r="AA15" i="13"/>
  <c r="X15" i="13"/>
  <c r="AA14" i="13"/>
  <c r="X14" i="13"/>
  <c r="AA13" i="13"/>
  <c r="X13" i="13"/>
  <c r="AA12" i="13"/>
  <c r="X12" i="13"/>
  <c r="AA11" i="13"/>
  <c r="X11" i="13"/>
  <c r="AA10" i="13"/>
  <c r="X10" i="13"/>
  <c r="AA9" i="13"/>
  <c r="X9" i="13"/>
  <c r="AA8" i="13"/>
  <c r="X8" i="13"/>
  <c r="AA7" i="13"/>
  <c r="X7" i="13"/>
  <c r="AA37" i="13" l="1"/>
  <c r="B24" i="14"/>
  <c r="C23" i="14"/>
  <c r="AB37" i="13"/>
  <c r="AC37" i="13"/>
  <c r="AD37" i="13"/>
  <c r="AE37" i="13"/>
  <c r="T37" i="12"/>
  <c r="T36" i="12"/>
  <c r="T35" i="12"/>
  <c r="T34" i="12"/>
  <c r="T33" i="12"/>
  <c r="T32" i="12"/>
  <c r="T31" i="12"/>
  <c r="T30" i="12"/>
  <c r="T29" i="12"/>
  <c r="T28" i="12"/>
  <c r="T27" i="12"/>
  <c r="T26" i="12"/>
  <c r="T25" i="12"/>
  <c r="T24" i="12"/>
  <c r="T23" i="12"/>
  <c r="T22" i="12"/>
  <c r="T21" i="12"/>
  <c r="T20" i="12"/>
  <c r="T19" i="12"/>
  <c r="T18" i="12"/>
  <c r="T17" i="12"/>
  <c r="T16" i="12"/>
  <c r="T15" i="12"/>
  <c r="T14" i="12"/>
  <c r="T13" i="12"/>
  <c r="T12" i="12"/>
  <c r="T11" i="12"/>
  <c r="T10" i="12"/>
  <c r="T9" i="12"/>
  <c r="T8" i="12"/>
  <c r="T7" i="12"/>
  <c r="B25" i="14" l="1"/>
  <c r="C24" i="14"/>
  <c r="AG38" i="14"/>
  <c r="AH7" i="14"/>
  <c r="AH8" i="14" s="1"/>
  <c r="AH9" i="14" s="1"/>
  <c r="AH10" i="14" s="1"/>
  <c r="AH11" i="14" s="1"/>
  <c r="AH12" i="14" s="1"/>
  <c r="AH13" i="14" s="1"/>
  <c r="AH14" i="14" s="1"/>
  <c r="AH15" i="14" s="1"/>
  <c r="AH16" i="14" s="1"/>
  <c r="AH17" i="14" s="1"/>
  <c r="AH18" i="14" s="1"/>
  <c r="AH19" i="14" s="1"/>
  <c r="AH20" i="14" s="1"/>
  <c r="AH21" i="14" s="1"/>
  <c r="AH22" i="14" s="1"/>
  <c r="AH23" i="14" s="1"/>
  <c r="AH24" i="14" s="1"/>
  <c r="AH25" i="14" s="1"/>
  <c r="AH26" i="14" s="1"/>
  <c r="AH27" i="14" s="1"/>
  <c r="AH28" i="14" s="1"/>
  <c r="AH29" i="14" s="1"/>
  <c r="AH30" i="14" l="1"/>
  <c r="AH31" i="14" s="1"/>
  <c r="AH32" i="14" s="1"/>
  <c r="AH33" i="14" s="1"/>
  <c r="AH34" i="14" s="1"/>
  <c r="AH35" i="14" s="1"/>
  <c r="AH36" i="14" s="1"/>
  <c r="AH37" i="14" s="1"/>
  <c r="B26" i="14"/>
  <c r="C25" i="14"/>
  <c r="L38" i="14"/>
  <c r="B27" i="14" l="1"/>
  <c r="C26" i="14"/>
  <c r="AL37" i="13"/>
  <c r="AI37" i="13"/>
  <c r="W37" i="13"/>
  <c r="V37" i="13"/>
  <c r="S37" i="13"/>
  <c r="H37" i="13"/>
  <c r="F37" i="13"/>
  <c r="D37" i="13"/>
  <c r="U36" i="13"/>
  <c r="U34" i="13"/>
  <c r="U33" i="13"/>
  <c r="U32" i="13"/>
  <c r="U31" i="13"/>
  <c r="U30" i="13"/>
  <c r="U29" i="13"/>
  <c r="U28" i="13"/>
  <c r="U27" i="13"/>
  <c r="U26" i="13"/>
  <c r="U25" i="13"/>
  <c r="U24" i="13"/>
  <c r="U23" i="13"/>
  <c r="U22" i="13"/>
  <c r="U21" i="13"/>
  <c r="U20" i="13"/>
  <c r="U19" i="13"/>
  <c r="U18" i="13"/>
  <c r="U17" i="13"/>
  <c r="U16" i="13"/>
  <c r="U15" i="13"/>
  <c r="U14" i="13"/>
  <c r="U13" i="13"/>
  <c r="U12" i="13"/>
  <c r="U11" i="13"/>
  <c r="U10" i="13"/>
  <c r="U9" i="13"/>
  <c r="U8" i="13"/>
  <c r="B8" i="13"/>
  <c r="C8" i="13" s="1"/>
  <c r="AJ7" i="13"/>
  <c r="AJ8" i="13" s="1"/>
  <c r="AJ9" i="13" s="1"/>
  <c r="AJ10" i="13" s="1"/>
  <c r="AJ11" i="13" s="1"/>
  <c r="AJ12" i="13" s="1"/>
  <c r="AJ13" i="13" s="1"/>
  <c r="AJ14" i="13" s="1"/>
  <c r="AJ15" i="13" s="1"/>
  <c r="AJ16" i="13" s="1"/>
  <c r="AJ17" i="13" s="1"/>
  <c r="AJ18" i="13" s="1"/>
  <c r="AJ19" i="13" s="1"/>
  <c r="AJ20" i="13" s="1"/>
  <c r="AJ21" i="13" s="1"/>
  <c r="AJ22" i="13" s="1"/>
  <c r="AJ23" i="13" s="1"/>
  <c r="AJ24" i="13" s="1"/>
  <c r="AJ25" i="13" s="1"/>
  <c r="AJ26" i="13" s="1"/>
  <c r="AJ27" i="13" s="1"/>
  <c r="AJ28" i="13" s="1"/>
  <c r="AJ29" i="13" s="1"/>
  <c r="AJ30" i="13" s="1"/>
  <c r="AJ31" i="13" s="1"/>
  <c r="AJ32" i="13" s="1"/>
  <c r="AJ33" i="13" s="1"/>
  <c r="AJ34" i="13" s="1"/>
  <c r="AJ35" i="13" s="1"/>
  <c r="AJ36" i="13" s="1"/>
  <c r="X37" i="13"/>
  <c r="U7" i="13"/>
  <c r="G37" i="13"/>
  <c r="C7" i="13"/>
  <c r="G6" i="13"/>
  <c r="U37" i="13" l="1"/>
  <c r="B28" i="14"/>
  <c r="C27" i="14"/>
  <c r="B9" i="13"/>
  <c r="B29" i="14" l="1"/>
  <c r="C28" i="14"/>
  <c r="C9" i="13"/>
  <c r="B10" i="13"/>
  <c r="C29" i="14" l="1"/>
  <c r="B30" i="14"/>
  <c r="C10" i="13"/>
  <c r="B11" i="13"/>
  <c r="C30" i="14" l="1"/>
  <c r="B31" i="14"/>
  <c r="C11" i="13"/>
  <c r="B12" i="13"/>
  <c r="C31" i="14" l="1"/>
  <c r="B32" i="14"/>
  <c r="C12" i="13"/>
  <c r="B13" i="13"/>
  <c r="B33" i="14" l="1"/>
  <c r="C32" i="14"/>
  <c r="C13" i="13"/>
  <c r="B14" i="13"/>
  <c r="C33" i="14" l="1"/>
  <c r="B34" i="14"/>
  <c r="C14" i="13"/>
  <c r="B15" i="13"/>
  <c r="B35" i="14" l="1"/>
  <c r="C34" i="14"/>
  <c r="C15" i="13"/>
  <c r="B16" i="13"/>
  <c r="B36" i="14" l="1"/>
  <c r="C35" i="14"/>
  <c r="C16" i="13"/>
  <c r="B17" i="13"/>
  <c r="B37" i="14" l="1"/>
  <c r="C37" i="14" s="1"/>
  <c r="C36" i="14"/>
  <c r="C17" i="13"/>
  <c r="B18" i="13"/>
  <c r="C18" i="13" l="1"/>
  <c r="B19" i="13"/>
  <c r="C19" i="13" l="1"/>
  <c r="B20" i="13"/>
  <c r="C20" i="13" l="1"/>
  <c r="B21" i="13"/>
  <c r="C21" i="13" l="1"/>
  <c r="B22" i="13"/>
  <c r="C22" i="13" l="1"/>
  <c r="B23" i="13"/>
  <c r="C23" i="13" l="1"/>
  <c r="B24" i="13"/>
  <c r="C24" i="13" l="1"/>
  <c r="B25" i="13"/>
  <c r="C25" i="13" l="1"/>
  <c r="B26" i="13"/>
  <c r="C26" i="13" l="1"/>
  <c r="B27" i="13"/>
  <c r="C27" i="13" l="1"/>
  <c r="B28" i="13"/>
  <c r="C28" i="13" l="1"/>
  <c r="B29" i="13"/>
  <c r="C29" i="13" l="1"/>
  <c r="B30" i="13"/>
  <c r="C30" i="13" l="1"/>
  <c r="B31" i="13"/>
  <c r="C31" i="13" l="1"/>
  <c r="B32" i="13"/>
  <c r="C32" i="13" l="1"/>
  <c r="B33" i="13"/>
  <c r="C33" i="13" l="1"/>
  <c r="B34" i="13"/>
  <c r="C34" i="13" l="1"/>
  <c r="B35" i="13"/>
  <c r="C35" i="13" l="1"/>
  <c r="B36" i="13"/>
  <c r="C36" i="13" l="1"/>
  <c r="Q7" i="12" l="1"/>
  <c r="L7" i="12"/>
  <c r="J7" i="12"/>
  <c r="AJ38" i="12" l="1"/>
  <c r="AH38" i="12"/>
  <c r="AE38" i="12"/>
  <c r="AA38" i="12"/>
  <c r="Z38" i="12"/>
  <c r="Y38" i="12"/>
  <c r="X38" i="12"/>
  <c r="S38" i="12"/>
  <c r="R38" i="12"/>
  <c r="O38" i="12"/>
  <c r="H38" i="12"/>
  <c r="F38" i="12"/>
  <c r="D38" i="12"/>
  <c r="Q37" i="12"/>
  <c r="J37" i="12"/>
  <c r="Q36" i="12"/>
  <c r="J36" i="12"/>
  <c r="J35" i="12"/>
  <c r="Q34" i="12"/>
  <c r="J34" i="12"/>
  <c r="Q33" i="12"/>
  <c r="J33" i="12"/>
  <c r="Q32" i="12"/>
  <c r="J32" i="12"/>
  <c r="Q31" i="12"/>
  <c r="J31" i="12"/>
  <c r="Q30" i="12"/>
  <c r="J30" i="12"/>
  <c r="Q29" i="12"/>
  <c r="J29" i="12"/>
  <c r="Q28" i="12"/>
  <c r="J28" i="12"/>
  <c r="Q27" i="12"/>
  <c r="J27" i="12"/>
  <c r="Q26" i="12"/>
  <c r="J26" i="12"/>
  <c r="Q25" i="12"/>
  <c r="J25" i="12"/>
  <c r="Q24" i="12"/>
  <c r="J24" i="12"/>
  <c r="Q23" i="12"/>
  <c r="J23" i="12"/>
  <c r="G23" i="12"/>
  <c r="Q22" i="12"/>
  <c r="L22" i="12"/>
  <c r="J22" i="12"/>
  <c r="G22" i="12"/>
  <c r="Q21" i="12"/>
  <c r="L21" i="12"/>
  <c r="J21" i="12"/>
  <c r="G21" i="12"/>
  <c r="Q20" i="12"/>
  <c r="L20" i="12"/>
  <c r="J20" i="12"/>
  <c r="G20" i="12"/>
  <c r="Q19" i="12"/>
  <c r="L19" i="12"/>
  <c r="J19" i="12"/>
  <c r="G19" i="12"/>
  <c r="Q18" i="12"/>
  <c r="L18" i="12"/>
  <c r="J18" i="12"/>
  <c r="G18" i="12"/>
  <c r="Q17" i="12"/>
  <c r="L17" i="12"/>
  <c r="J17" i="12"/>
  <c r="G17" i="12"/>
  <c r="Q16" i="12"/>
  <c r="L16" i="12"/>
  <c r="J16" i="12"/>
  <c r="G16" i="12"/>
  <c r="Q15" i="12"/>
  <c r="L15" i="12"/>
  <c r="J15" i="12"/>
  <c r="G15" i="12"/>
  <c r="Q14" i="12"/>
  <c r="L14" i="12"/>
  <c r="J14" i="12"/>
  <c r="G14" i="12"/>
  <c r="Q13" i="12"/>
  <c r="L13" i="12"/>
  <c r="J13" i="12"/>
  <c r="G13" i="12"/>
  <c r="Q12" i="12"/>
  <c r="L12" i="12"/>
  <c r="J12" i="12"/>
  <c r="G12" i="12"/>
  <c r="Q11" i="12"/>
  <c r="L11" i="12"/>
  <c r="J11" i="12"/>
  <c r="G11" i="12"/>
  <c r="Q10" i="12"/>
  <c r="L10" i="12"/>
  <c r="J10" i="12"/>
  <c r="G10" i="12"/>
  <c r="Q9" i="12"/>
  <c r="L9" i="12"/>
  <c r="J9" i="12"/>
  <c r="G9" i="12"/>
  <c r="Q8" i="12"/>
  <c r="L8" i="12"/>
  <c r="J8" i="12"/>
  <c r="G8" i="12"/>
  <c r="B8" i="12"/>
  <c r="B9" i="12" s="1"/>
  <c r="AF7" i="12"/>
  <c r="AF8" i="12" s="1"/>
  <c r="AF9" i="12" s="1"/>
  <c r="AF10" i="12" s="1"/>
  <c r="AF11" i="12" s="1"/>
  <c r="AF12" i="12" s="1"/>
  <c r="AF13" i="12" s="1"/>
  <c r="AF14" i="12" s="1"/>
  <c r="AF15" i="12" s="1"/>
  <c r="AF16" i="12" s="1"/>
  <c r="AF17" i="12" s="1"/>
  <c r="AF18" i="12" s="1"/>
  <c r="AF19" i="12" s="1"/>
  <c r="AF20" i="12" s="1"/>
  <c r="AF21" i="12" s="1"/>
  <c r="AF22" i="12" s="1"/>
  <c r="AF23" i="12" s="1"/>
  <c r="AF24" i="12" s="1"/>
  <c r="AF25" i="12" s="1"/>
  <c r="AF26" i="12" s="1"/>
  <c r="AF27" i="12" s="1"/>
  <c r="AF28" i="12" s="1"/>
  <c r="AF29" i="12" s="1"/>
  <c r="AF30" i="12" s="1"/>
  <c r="AF31" i="12" s="1"/>
  <c r="AF32" i="12" s="1"/>
  <c r="AF33" i="12" s="1"/>
  <c r="AF34" i="12" s="1"/>
  <c r="AF35" i="12" s="1"/>
  <c r="AF36" i="12" s="1"/>
  <c r="AF37" i="12" s="1"/>
  <c r="G7" i="12"/>
  <c r="C7" i="12"/>
  <c r="G6" i="12"/>
  <c r="T38" i="12" l="1"/>
  <c r="L38" i="12"/>
  <c r="J38" i="12"/>
  <c r="Q38" i="12"/>
  <c r="G38" i="12"/>
  <c r="C8" i="12"/>
  <c r="C9" i="12"/>
  <c r="B10" i="12"/>
  <c r="C10" i="12" l="1"/>
  <c r="B11" i="12"/>
  <c r="C11" i="12" l="1"/>
  <c r="B12" i="12"/>
  <c r="C12" i="12" l="1"/>
  <c r="B13" i="12"/>
  <c r="C13" i="12" l="1"/>
  <c r="B14" i="12"/>
  <c r="C14" i="12" l="1"/>
  <c r="B15" i="12"/>
  <c r="C15" i="12" l="1"/>
  <c r="B16" i="12"/>
  <c r="C16" i="12" l="1"/>
  <c r="B17" i="12"/>
  <c r="C17" i="12" l="1"/>
  <c r="B18" i="12"/>
  <c r="C18" i="12" l="1"/>
  <c r="B19" i="12"/>
  <c r="C19" i="12" l="1"/>
  <c r="B20" i="12"/>
  <c r="C20" i="12" l="1"/>
  <c r="B21" i="12"/>
  <c r="C21" i="12" l="1"/>
  <c r="B22" i="12"/>
  <c r="C22" i="12" l="1"/>
  <c r="B23" i="12"/>
  <c r="C23" i="12" l="1"/>
  <c r="B24" i="12"/>
  <c r="C24" i="12" l="1"/>
  <c r="B25" i="12"/>
  <c r="C25" i="12" l="1"/>
  <c r="B26" i="12"/>
  <c r="C26" i="12" l="1"/>
  <c r="B27" i="12"/>
  <c r="C27" i="12" l="1"/>
  <c r="B28" i="12"/>
  <c r="C28" i="12" l="1"/>
  <c r="B29" i="12"/>
  <c r="C29" i="12" l="1"/>
  <c r="B30" i="12"/>
  <c r="C30" i="12" l="1"/>
  <c r="B31" i="12"/>
  <c r="C31" i="12" l="1"/>
  <c r="B32" i="12"/>
  <c r="C32" i="12" l="1"/>
  <c r="B33" i="12"/>
  <c r="C33" i="12" l="1"/>
  <c r="B34" i="12"/>
  <c r="C34" i="12" l="1"/>
  <c r="B35" i="12"/>
  <c r="C35" i="12" l="1"/>
  <c r="B36" i="12"/>
  <c r="C36" i="12" l="1"/>
  <c r="B37" i="12"/>
  <c r="C37" i="12" s="1"/>
  <c r="N39" i="3" l="1"/>
  <c r="M39" i="3"/>
  <c r="L39" i="3"/>
  <c r="J39" i="3"/>
  <c r="I39" i="3"/>
  <c r="H39" i="3"/>
  <c r="E39" i="3"/>
  <c r="P39" i="3"/>
  <c r="AC39" i="3"/>
  <c r="O39" i="3"/>
  <c r="G39" i="3"/>
  <c r="D39" i="3"/>
  <c r="AB39" i="3"/>
  <c r="AA39" i="3"/>
  <c r="X39" i="3"/>
  <c r="W39" i="3"/>
  <c r="V39" i="3"/>
  <c r="U39" i="3"/>
  <c r="T39" i="3"/>
  <c r="Q39" i="3"/>
  <c r="R39" i="3"/>
  <c r="AB38" i="3" l="1"/>
  <c r="AA38" i="3"/>
  <c r="Z38" i="3"/>
  <c r="X38" i="3"/>
  <c r="AB37" i="3"/>
  <c r="AA37" i="3"/>
  <c r="Z37" i="3"/>
  <c r="X37" i="3"/>
  <c r="AB36" i="3"/>
  <c r="AA36" i="3"/>
  <c r="Z36" i="3"/>
  <c r="X36" i="3"/>
  <c r="AB35" i="3"/>
  <c r="AA35" i="3"/>
  <c r="Z35" i="3"/>
  <c r="X35" i="3"/>
  <c r="AB34" i="3"/>
  <c r="AA34" i="3"/>
  <c r="Z34" i="3"/>
  <c r="X34" i="3"/>
  <c r="AB33" i="3"/>
  <c r="AA33" i="3"/>
  <c r="Z33" i="3"/>
  <c r="X33" i="3"/>
  <c r="AB32" i="3"/>
  <c r="AA32" i="3"/>
  <c r="Z32" i="3"/>
  <c r="X32" i="3"/>
  <c r="AB31" i="3"/>
  <c r="AA31" i="3"/>
  <c r="Z31" i="3"/>
  <c r="X31" i="3"/>
  <c r="AB30" i="3"/>
  <c r="AA30" i="3"/>
  <c r="Z30" i="3"/>
  <c r="X30" i="3"/>
  <c r="AB29" i="3"/>
  <c r="AA29" i="3"/>
  <c r="Z29" i="3"/>
  <c r="X29" i="3"/>
  <c r="AB28" i="3"/>
  <c r="AA28" i="3"/>
  <c r="Z28" i="3"/>
  <c r="X28" i="3"/>
  <c r="AB27" i="3"/>
  <c r="AA27" i="3"/>
  <c r="Z27" i="3"/>
  <c r="X27" i="3"/>
  <c r="AB26" i="3"/>
  <c r="AA26" i="3"/>
  <c r="Z26" i="3"/>
  <c r="X26" i="3"/>
  <c r="AB25" i="3"/>
  <c r="AA25" i="3"/>
  <c r="Z25" i="3"/>
  <c r="X25" i="3"/>
  <c r="AB24" i="3"/>
  <c r="AA24" i="3"/>
  <c r="Z24" i="3"/>
  <c r="X24" i="3"/>
  <c r="AB23" i="3"/>
  <c r="AA23" i="3"/>
  <c r="Z23" i="3"/>
  <c r="X23" i="3"/>
  <c r="AB22" i="3"/>
  <c r="AA22" i="3"/>
  <c r="Z22" i="3"/>
  <c r="X22" i="3"/>
  <c r="AB21" i="3"/>
  <c r="AA21" i="3"/>
  <c r="Z21" i="3"/>
  <c r="X21" i="3"/>
  <c r="AB20" i="3"/>
  <c r="AA20" i="3"/>
  <c r="Z20" i="3"/>
  <c r="X20" i="3"/>
  <c r="AB19" i="3"/>
  <c r="AA19" i="3"/>
  <c r="Z19" i="3"/>
  <c r="X19" i="3"/>
  <c r="AB18" i="3"/>
  <c r="AA18" i="3"/>
  <c r="Z18" i="3"/>
  <c r="X18" i="3"/>
  <c r="AB17" i="3"/>
  <c r="AA17" i="3"/>
  <c r="Z17" i="3"/>
  <c r="X17" i="3"/>
  <c r="AB16" i="3"/>
  <c r="AA16" i="3"/>
  <c r="Z16" i="3"/>
  <c r="X16" i="3"/>
  <c r="AB15" i="3"/>
  <c r="AA15" i="3"/>
  <c r="Z15" i="3"/>
  <c r="X15" i="3"/>
  <c r="AB14" i="3"/>
  <c r="AA14" i="3"/>
  <c r="Z14" i="3"/>
  <c r="X14" i="3"/>
  <c r="AB13" i="3"/>
  <c r="AA13" i="3"/>
  <c r="Z13" i="3"/>
  <c r="X13" i="3"/>
  <c r="AB12" i="3"/>
  <c r="AA12" i="3"/>
  <c r="Z12" i="3"/>
  <c r="X12" i="3"/>
  <c r="AB11" i="3"/>
  <c r="AA11" i="3"/>
  <c r="Z11" i="3"/>
  <c r="X11" i="3"/>
  <c r="AB10" i="3"/>
  <c r="AA10" i="3"/>
  <c r="Z10" i="3"/>
  <c r="X10" i="3"/>
  <c r="AB9" i="3"/>
  <c r="AA9" i="3"/>
  <c r="Z9" i="3"/>
  <c r="X9" i="3"/>
  <c r="AB8" i="3"/>
  <c r="AA8" i="3"/>
  <c r="Z8" i="3"/>
  <c r="X8" i="3"/>
  <c r="AB7" i="3"/>
  <c r="AA7" i="3"/>
  <c r="Z7" i="3"/>
  <c r="X7" i="3"/>
  <c r="S33" i="3"/>
  <c r="S27" i="3"/>
  <c r="S26" i="3"/>
  <c r="W38" i="3"/>
  <c r="V38" i="3"/>
  <c r="U38" i="3"/>
  <c r="T38" i="3"/>
  <c r="R38" i="3"/>
  <c r="Q38" i="3"/>
  <c r="P38" i="3"/>
  <c r="O38" i="3"/>
  <c r="W37" i="3"/>
  <c r="V37" i="3"/>
  <c r="U37" i="3"/>
  <c r="T37" i="3"/>
  <c r="R37" i="3"/>
  <c r="Q37" i="3"/>
  <c r="P37" i="3"/>
  <c r="O37" i="3"/>
  <c r="W36" i="3"/>
  <c r="V36" i="3"/>
  <c r="U36" i="3"/>
  <c r="T36" i="3"/>
  <c r="R36" i="3"/>
  <c r="Q36" i="3"/>
  <c r="P36" i="3"/>
  <c r="O36" i="3"/>
  <c r="W35" i="3"/>
  <c r="V35" i="3"/>
  <c r="U35" i="3"/>
  <c r="T35" i="3"/>
  <c r="R35" i="3"/>
  <c r="Q35" i="3"/>
  <c r="P35" i="3"/>
  <c r="O35" i="3"/>
  <c r="W34" i="3"/>
  <c r="V34" i="3"/>
  <c r="U34" i="3"/>
  <c r="T34" i="3"/>
  <c r="R34" i="3"/>
  <c r="Q34" i="3"/>
  <c r="P34" i="3"/>
  <c r="O34" i="3"/>
  <c r="W33" i="3"/>
  <c r="V33" i="3"/>
  <c r="U33" i="3"/>
  <c r="T33" i="3"/>
  <c r="R33" i="3"/>
  <c r="Q33" i="3"/>
  <c r="P33" i="3"/>
  <c r="O33" i="3"/>
  <c r="W32" i="3"/>
  <c r="V32" i="3"/>
  <c r="U32" i="3"/>
  <c r="T32" i="3"/>
  <c r="R32" i="3"/>
  <c r="Q32" i="3"/>
  <c r="P32" i="3"/>
  <c r="O32" i="3"/>
  <c r="W31" i="3"/>
  <c r="V31" i="3"/>
  <c r="U31" i="3"/>
  <c r="T31" i="3"/>
  <c r="R31" i="3"/>
  <c r="Q31" i="3"/>
  <c r="P31" i="3"/>
  <c r="O31" i="3"/>
  <c r="W30" i="3"/>
  <c r="V30" i="3"/>
  <c r="U30" i="3"/>
  <c r="T30" i="3"/>
  <c r="R30" i="3"/>
  <c r="Q30" i="3"/>
  <c r="P30" i="3"/>
  <c r="O30" i="3"/>
  <c r="W29" i="3"/>
  <c r="V29" i="3"/>
  <c r="U29" i="3"/>
  <c r="T29" i="3"/>
  <c r="R29" i="3"/>
  <c r="Q29" i="3"/>
  <c r="P29" i="3"/>
  <c r="O29" i="3"/>
  <c r="W28" i="3"/>
  <c r="V28" i="3"/>
  <c r="U28" i="3"/>
  <c r="T28" i="3"/>
  <c r="R28" i="3"/>
  <c r="Q28" i="3"/>
  <c r="P28" i="3"/>
  <c r="O28" i="3"/>
  <c r="W27" i="3"/>
  <c r="V27" i="3"/>
  <c r="U27" i="3"/>
  <c r="T27" i="3"/>
  <c r="R27" i="3"/>
  <c r="Q27" i="3"/>
  <c r="P27" i="3"/>
  <c r="O27" i="3"/>
  <c r="W26" i="3"/>
  <c r="V26" i="3"/>
  <c r="U26" i="3"/>
  <c r="T26" i="3"/>
  <c r="R26" i="3"/>
  <c r="Q26" i="3"/>
  <c r="P26" i="3"/>
  <c r="O26" i="3"/>
  <c r="W25" i="3"/>
  <c r="V25" i="3"/>
  <c r="U25" i="3"/>
  <c r="T25" i="3"/>
  <c r="R25" i="3"/>
  <c r="Q25" i="3"/>
  <c r="P25" i="3"/>
  <c r="O25" i="3"/>
  <c r="W24" i="3"/>
  <c r="V24" i="3"/>
  <c r="U24" i="3"/>
  <c r="T24" i="3"/>
  <c r="R24" i="3"/>
  <c r="Q24" i="3"/>
  <c r="P24" i="3"/>
  <c r="O24" i="3"/>
  <c r="W23" i="3"/>
  <c r="V23" i="3"/>
  <c r="U23" i="3"/>
  <c r="T23" i="3"/>
  <c r="R23" i="3"/>
  <c r="Q23" i="3"/>
  <c r="P23" i="3"/>
  <c r="O23" i="3"/>
  <c r="W22" i="3"/>
  <c r="V22" i="3"/>
  <c r="U22" i="3"/>
  <c r="T22" i="3"/>
  <c r="R22" i="3"/>
  <c r="Q22" i="3"/>
  <c r="P22" i="3"/>
  <c r="O22" i="3"/>
  <c r="W21" i="3"/>
  <c r="V21" i="3"/>
  <c r="U21" i="3"/>
  <c r="T21" i="3"/>
  <c r="R21" i="3"/>
  <c r="Q21" i="3"/>
  <c r="P21" i="3"/>
  <c r="O21" i="3"/>
  <c r="W20" i="3"/>
  <c r="V20" i="3"/>
  <c r="U20" i="3"/>
  <c r="T20" i="3"/>
  <c r="S20" i="3"/>
  <c r="R20" i="3"/>
  <c r="Q20" i="3"/>
  <c r="P20" i="3"/>
  <c r="O20" i="3"/>
  <c r="W19" i="3"/>
  <c r="V19" i="3"/>
  <c r="U19" i="3"/>
  <c r="T19" i="3"/>
  <c r="R19" i="3"/>
  <c r="Q19" i="3"/>
  <c r="P19" i="3"/>
  <c r="O19" i="3"/>
  <c r="W18" i="3"/>
  <c r="V18" i="3"/>
  <c r="U18" i="3"/>
  <c r="T18" i="3"/>
  <c r="R18" i="3"/>
  <c r="Q18" i="3"/>
  <c r="P18" i="3"/>
  <c r="O18" i="3"/>
  <c r="W17" i="3"/>
  <c r="V17" i="3"/>
  <c r="U17" i="3"/>
  <c r="T17" i="3"/>
  <c r="R17" i="3"/>
  <c r="Q17" i="3"/>
  <c r="P17" i="3"/>
  <c r="O17" i="3"/>
  <c r="W16" i="3"/>
  <c r="V16" i="3"/>
  <c r="U16" i="3"/>
  <c r="T16" i="3"/>
  <c r="R16" i="3"/>
  <c r="Q16" i="3"/>
  <c r="P16" i="3"/>
  <c r="O16" i="3"/>
  <c r="W15" i="3"/>
  <c r="V15" i="3"/>
  <c r="U15" i="3"/>
  <c r="T15" i="3"/>
  <c r="R15" i="3"/>
  <c r="Q15" i="3"/>
  <c r="P15" i="3"/>
  <c r="O15" i="3"/>
  <c r="W14" i="3"/>
  <c r="V14" i="3"/>
  <c r="U14" i="3"/>
  <c r="T14" i="3"/>
  <c r="R14" i="3"/>
  <c r="Q14" i="3"/>
  <c r="P14" i="3"/>
  <c r="O14" i="3"/>
  <c r="W13" i="3"/>
  <c r="V13" i="3"/>
  <c r="U13" i="3"/>
  <c r="T13" i="3"/>
  <c r="R13" i="3"/>
  <c r="Q13" i="3"/>
  <c r="P13" i="3"/>
  <c r="O13" i="3"/>
  <c r="W12" i="3"/>
  <c r="V12" i="3"/>
  <c r="U12" i="3"/>
  <c r="T12" i="3"/>
  <c r="R12" i="3"/>
  <c r="Q12" i="3"/>
  <c r="P12" i="3"/>
  <c r="O12" i="3"/>
  <c r="W11" i="3"/>
  <c r="V11" i="3"/>
  <c r="U11" i="3"/>
  <c r="T11" i="3"/>
  <c r="R11" i="3"/>
  <c r="Q11" i="3"/>
  <c r="P11" i="3"/>
  <c r="O11" i="3"/>
  <c r="W10" i="3"/>
  <c r="V10" i="3"/>
  <c r="U10" i="3"/>
  <c r="T10" i="3"/>
  <c r="R10" i="3"/>
  <c r="Q10" i="3"/>
  <c r="P10" i="3"/>
  <c r="O10" i="3"/>
  <c r="W9" i="3"/>
  <c r="V9" i="3"/>
  <c r="U9" i="3"/>
  <c r="T9" i="3"/>
  <c r="R9" i="3"/>
  <c r="Q9" i="3"/>
  <c r="P9" i="3"/>
  <c r="O9" i="3"/>
  <c r="W8" i="3"/>
  <c r="V8" i="3"/>
  <c r="U8" i="3"/>
  <c r="T8" i="3"/>
  <c r="R8" i="3"/>
  <c r="Q8" i="3"/>
  <c r="P8" i="3"/>
  <c r="O8" i="3"/>
  <c r="W7" i="3"/>
  <c r="V7" i="3"/>
  <c r="U7" i="3"/>
  <c r="T7" i="3"/>
  <c r="R7" i="3"/>
  <c r="Q7" i="3"/>
  <c r="P7" i="3"/>
  <c r="O7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K38" i="3"/>
  <c r="K7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D8" i="3"/>
  <c r="F8" i="3" s="1"/>
  <c r="D9" i="3"/>
  <c r="F9" i="3" s="1"/>
  <c r="D10" i="3"/>
  <c r="F10" i="3" s="1"/>
  <c r="D11" i="3"/>
  <c r="F11" i="3" s="1"/>
  <c r="D12" i="3"/>
  <c r="F12" i="3" s="1"/>
  <c r="D13" i="3"/>
  <c r="F13" i="3" s="1"/>
  <c r="D14" i="3"/>
  <c r="F14" i="3" s="1"/>
  <c r="D15" i="3"/>
  <c r="F15" i="3" s="1"/>
  <c r="D16" i="3"/>
  <c r="F16" i="3" s="1"/>
  <c r="D17" i="3"/>
  <c r="F17" i="3" s="1"/>
  <c r="D18" i="3"/>
  <c r="F18" i="3" s="1"/>
  <c r="D19" i="3"/>
  <c r="F19" i="3" s="1"/>
  <c r="D20" i="3"/>
  <c r="F20" i="3" s="1"/>
  <c r="D21" i="3"/>
  <c r="F21" i="3" s="1"/>
  <c r="D22" i="3"/>
  <c r="F22" i="3" s="1"/>
  <c r="D23" i="3"/>
  <c r="F23" i="3" s="1"/>
  <c r="D24" i="3"/>
  <c r="F24" i="3" s="1"/>
  <c r="D25" i="3"/>
  <c r="F25" i="3" s="1"/>
  <c r="D26" i="3"/>
  <c r="F26" i="3" s="1"/>
  <c r="D27" i="3"/>
  <c r="F27" i="3" s="1"/>
  <c r="D28" i="3"/>
  <c r="F28" i="3" s="1"/>
  <c r="D29" i="3"/>
  <c r="F29" i="3" s="1"/>
  <c r="D30" i="3"/>
  <c r="F30" i="3" s="1"/>
  <c r="D31" i="3"/>
  <c r="F31" i="3" s="1"/>
  <c r="D32" i="3"/>
  <c r="F32" i="3" s="1"/>
  <c r="D33" i="3"/>
  <c r="F33" i="3" s="1"/>
  <c r="D34" i="3"/>
  <c r="F34" i="3" s="1"/>
  <c r="D35" i="3"/>
  <c r="F35" i="3" s="1"/>
  <c r="D36" i="3"/>
  <c r="F36" i="3" s="1"/>
  <c r="D37" i="3"/>
  <c r="F37" i="3" s="1"/>
  <c r="D38" i="3"/>
  <c r="F38" i="3" s="1"/>
  <c r="D7" i="3"/>
  <c r="F7" i="3" s="1"/>
  <c r="Z39" i="4"/>
  <c r="Z39" i="3" s="1"/>
  <c r="Y39" i="4"/>
  <c r="S39" i="4"/>
  <c r="S38" i="4"/>
  <c r="F38" i="4"/>
  <c r="S37" i="4"/>
  <c r="S36" i="4"/>
  <c r="K36" i="4"/>
  <c r="F36" i="4"/>
  <c r="S35" i="4"/>
  <c r="K35" i="4"/>
  <c r="F35" i="4"/>
  <c r="S34" i="4"/>
  <c r="K34" i="4"/>
  <c r="F34" i="4"/>
  <c r="K33" i="4"/>
  <c r="F33" i="4"/>
  <c r="S32" i="3"/>
  <c r="K32" i="4"/>
  <c r="F32" i="4"/>
  <c r="S31" i="4"/>
  <c r="K31" i="4"/>
  <c r="F31" i="4"/>
  <c r="S30" i="4"/>
  <c r="K30" i="4"/>
  <c r="F30" i="4"/>
  <c r="S29" i="4"/>
  <c r="K29" i="4"/>
  <c r="F29" i="4"/>
  <c r="S28" i="4"/>
  <c r="K28" i="4"/>
  <c r="F28" i="4"/>
  <c r="K27" i="4"/>
  <c r="F27" i="4"/>
  <c r="K26" i="4"/>
  <c r="F26" i="4"/>
  <c r="S25" i="4"/>
  <c r="K25" i="4"/>
  <c r="F25" i="4"/>
  <c r="S24" i="4"/>
  <c r="K24" i="4"/>
  <c r="F24" i="4"/>
  <c r="S23" i="4"/>
  <c r="K23" i="4"/>
  <c r="F23" i="4"/>
  <c r="S22" i="4"/>
  <c r="K22" i="4"/>
  <c r="F22" i="4"/>
  <c r="S21" i="4"/>
  <c r="K21" i="4"/>
  <c r="F21" i="4"/>
  <c r="K20" i="4"/>
  <c r="F20" i="4"/>
  <c r="S19" i="4"/>
  <c r="K19" i="4"/>
  <c r="F19" i="4"/>
  <c r="S18" i="4"/>
  <c r="K18" i="4"/>
  <c r="F18" i="4"/>
  <c r="S17" i="4"/>
  <c r="K17" i="4"/>
  <c r="F17" i="4"/>
  <c r="S16" i="4"/>
  <c r="K16" i="4"/>
  <c r="F16" i="4"/>
  <c r="S15" i="4"/>
  <c r="K15" i="4"/>
  <c r="F15" i="4"/>
  <c r="S14" i="4"/>
  <c r="K14" i="4"/>
  <c r="F14" i="4"/>
  <c r="S13" i="4"/>
  <c r="K13" i="4"/>
  <c r="F13" i="4"/>
  <c r="S12" i="4"/>
  <c r="K12" i="4"/>
  <c r="F12" i="4"/>
  <c r="S11" i="4"/>
  <c r="K11" i="4"/>
  <c r="F11" i="4"/>
  <c r="S10" i="4"/>
  <c r="K10" i="4"/>
  <c r="F10" i="4"/>
  <c r="S9" i="4"/>
  <c r="K9" i="4"/>
  <c r="F9" i="4"/>
  <c r="S8" i="4"/>
  <c r="K8" i="4"/>
  <c r="F8" i="4"/>
  <c r="B8" i="4"/>
  <c r="B9" i="4" s="1"/>
  <c r="Y7" i="4"/>
  <c r="Y8" i="4" s="1"/>
  <c r="Y9" i="4" s="1"/>
  <c r="Y10" i="4" s="1"/>
  <c r="Y11" i="4" s="1"/>
  <c r="Y12" i="4" s="1"/>
  <c r="Y13" i="4" s="1"/>
  <c r="Y14" i="4" s="1"/>
  <c r="Y15" i="4" s="1"/>
  <c r="Y16" i="4" s="1"/>
  <c r="Y17" i="4" s="1"/>
  <c r="Y18" i="4" s="1"/>
  <c r="Y19" i="4" s="1"/>
  <c r="Y20" i="4" s="1"/>
  <c r="Y21" i="4" s="1"/>
  <c r="Y22" i="4" s="1"/>
  <c r="Y23" i="4" s="1"/>
  <c r="Y24" i="4" s="1"/>
  <c r="Y25" i="4" s="1"/>
  <c r="Y26" i="4" s="1"/>
  <c r="Y27" i="4" s="1"/>
  <c r="Y28" i="4" s="1"/>
  <c r="Y29" i="4" s="1"/>
  <c r="Y30" i="4" s="1"/>
  <c r="Y31" i="4" s="1"/>
  <c r="Y32" i="4" s="1"/>
  <c r="Y33" i="4" s="1"/>
  <c r="Y34" i="4" s="1"/>
  <c r="Y35" i="4" s="1"/>
  <c r="Y36" i="4" s="1"/>
  <c r="S7" i="4"/>
  <c r="F7" i="4"/>
  <c r="C7" i="4"/>
  <c r="B8" i="3"/>
  <c r="B9" i="3" s="1"/>
  <c r="C7" i="3"/>
  <c r="C8" i="4" l="1"/>
  <c r="S38" i="3"/>
  <c r="K39" i="4"/>
  <c r="S37" i="3"/>
  <c r="C9" i="4"/>
  <c r="B10" i="4"/>
  <c r="C9" i="3"/>
  <c r="B10" i="3"/>
  <c r="C8" i="3"/>
  <c r="B11" i="4" l="1"/>
  <c r="C10" i="4"/>
  <c r="C10" i="3"/>
  <c r="B11" i="3"/>
  <c r="B12" i="4" l="1"/>
  <c r="C11" i="4"/>
  <c r="B12" i="3"/>
  <c r="C11" i="3"/>
  <c r="B13" i="4" l="1"/>
  <c r="C12" i="4"/>
  <c r="B13" i="3"/>
  <c r="C12" i="3"/>
  <c r="C13" i="4" l="1"/>
  <c r="B14" i="4"/>
  <c r="B14" i="3"/>
  <c r="C13" i="3"/>
  <c r="C14" i="4" l="1"/>
  <c r="B15" i="4"/>
  <c r="C14" i="3"/>
  <c r="B15" i="3"/>
  <c r="B16" i="4" l="1"/>
  <c r="C15" i="4"/>
  <c r="B16" i="3"/>
  <c r="C15" i="3"/>
  <c r="B17" i="4" l="1"/>
  <c r="C16" i="4"/>
  <c r="B17" i="3"/>
  <c r="C16" i="3"/>
  <c r="C17" i="4" l="1"/>
  <c r="B18" i="4"/>
  <c r="B18" i="3"/>
  <c r="C17" i="3"/>
  <c r="B19" i="4" l="1"/>
  <c r="C18" i="4"/>
  <c r="B19" i="3"/>
  <c r="C18" i="3"/>
  <c r="B20" i="4" l="1"/>
  <c r="C19" i="4"/>
  <c r="B20" i="3"/>
  <c r="C19" i="3"/>
  <c r="C20" i="4" l="1"/>
  <c r="B21" i="4"/>
  <c r="B21" i="3"/>
  <c r="C20" i="3"/>
  <c r="C21" i="4" l="1"/>
  <c r="B22" i="4"/>
  <c r="B22" i="3"/>
  <c r="C21" i="3"/>
  <c r="B23" i="4" l="1"/>
  <c r="C22" i="4"/>
  <c r="B23" i="3"/>
  <c r="C22" i="3"/>
  <c r="B24" i="4" l="1"/>
  <c r="C23" i="4"/>
  <c r="B24" i="3"/>
  <c r="C23" i="3"/>
  <c r="C24" i="4" l="1"/>
  <c r="B25" i="4"/>
  <c r="B25" i="3"/>
  <c r="C24" i="3"/>
  <c r="C25" i="4" l="1"/>
  <c r="B26" i="4"/>
  <c r="B26" i="3"/>
  <c r="C25" i="3"/>
  <c r="B27" i="4" l="1"/>
  <c r="C26" i="4"/>
  <c r="C26" i="3"/>
  <c r="B27" i="3"/>
  <c r="B28" i="4" l="1"/>
  <c r="C27" i="4"/>
  <c r="C27" i="3"/>
  <c r="B28" i="3"/>
  <c r="C28" i="4" l="1"/>
  <c r="B29" i="4"/>
  <c r="C28" i="3"/>
  <c r="B29" i="3"/>
  <c r="C29" i="4" l="1"/>
  <c r="B30" i="4"/>
  <c r="C29" i="3"/>
  <c r="B30" i="3"/>
  <c r="B31" i="4" l="1"/>
  <c r="C30" i="4"/>
  <c r="C30" i="3"/>
  <c r="B31" i="3"/>
  <c r="B32" i="4" l="1"/>
  <c r="C31" i="4"/>
  <c r="C31" i="3"/>
  <c r="B32" i="3"/>
  <c r="C32" i="4" l="1"/>
  <c r="B33" i="4"/>
  <c r="C32" i="3"/>
  <c r="B33" i="3"/>
  <c r="C33" i="4" l="1"/>
  <c r="B34" i="4"/>
  <c r="C33" i="3"/>
  <c r="B34" i="3"/>
  <c r="B35" i="4" l="1"/>
  <c r="C34" i="4"/>
  <c r="C34" i="3"/>
  <c r="B35" i="3"/>
  <c r="C35" i="4" l="1"/>
  <c r="B36" i="4"/>
  <c r="C35" i="3"/>
  <c r="B36" i="3"/>
  <c r="C36" i="4" l="1"/>
  <c r="B37" i="4"/>
  <c r="C36" i="3"/>
  <c r="B37" i="3"/>
  <c r="B38" i="4" l="1"/>
  <c r="C38" i="4" s="1"/>
  <c r="B38" i="3"/>
  <c r="C38" i="3" s="1"/>
  <c r="C37" i="3"/>
  <c r="K37" i="3" l="1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S8" i="3" l="1"/>
  <c r="S9" i="3"/>
  <c r="S10" i="3"/>
  <c r="S11" i="3"/>
  <c r="S12" i="3"/>
  <c r="S13" i="3"/>
  <c r="S14" i="3"/>
  <c r="S15" i="3"/>
  <c r="S16" i="3"/>
  <c r="S17" i="3"/>
  <c r="S18" i="3"/>
  <c r="S19" i="3"/>
  <c r="S21" i="3"/>
  <c r="S22" i="3"/>
  <c r="S23" i="3"/>
  <c r="S24" i="3"/>
  <c r="S25" i="3"/>
  <c r="S28" i="3"/>
  <c r="S29" i="3"/>
  <c r="S30" i="3"/>
  <c r="S31" i="3"/>
  <c r="S34" i="3"/>
  <c r="S35" i="3"/>
  <c r="S36" i="3"/>
  <c r="S7" i="3" l="1"/>
  <c r="S39" i="3"/>
  <c r="Y39" i="3"/>
  <c r="K36" i="3" l="1"/>
  <c r="K35" i="3" l="1"/>
  <c r="K34" i="3"/>
  <c r="K33" i="3"/>
  <c r="K32" i="3"/>
  <c r="K31" i="3"/>
  <c r="K30" i="3"/>
  <c r="K29" i="3"/>
  <c r="K28" i="3"/>
  <c r="K27" i="3"/>
  <c r="K26" i="3"/>
  <c r="K25" i="3"/>
  <c r="K39" i="3" l="1"/>
  <c r="F39" i="3" l="1"/>
  <c r="Y7" i="3" l="1"/>
  <c r="Y8" i="3" l="1"/>
  <c r="Y9" i="3" l="1"/>
  <c r="Y10" i="3" l="1"/>
  <c r="Y11" i="3" l="1"/>
  <c r="Y12" i="3" l="1"/>
  <c r="Y13" i="3" l="1"/>
  <c r="Y14" i="3" l="1"/>
  <c r="Y15" i="3" l="1"/>
  <c r="Y16" i="3" l="1"/>
  <c r="Y17" i="3" l="1"/>
  <c r="Y18" i="3" l="1"/>
  <c r="Y19" i="3" l="1"/>
  <c r="Y20" i="3" l="1"/>
  <c r="Y21" i="3" l="1"/>
  <c r="Y22" i="3" l="1"/>
  <c r="Y23" i="3" l="1"/>
  <c r="Y24" i="3" l="1"/>
  <c r="Y25" i="3" l="1"/>
  <c r="Y26" i="3" l="1"/>
  <c r="Y27" i="3" l="1"/>
  <c r="Y28" i="3" l="1"/>
  <c r="Y29" i="3" l="1"/>
  <c r="Y30" i="3" l="1"/>
  <c r="Y31" i="3" l="1"/>
  <c r="Y32" i="3" l="1"/>
  <c r="Y33" i="3" l="1"/>
  <c r="Y34" i="3" l="1"/>
  <c r="Y35" i="3" l="1"/>
  <c r="Y36" i="3" l="1"/>
  <c r="Y38" i="3" l="1"/>
  <c r="Y3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Toribio G. Castro Jr</author>
  </authors>
  <commentList>
    <comment ref="Q7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Toribio G. Castro Jr:</t>
        </r>
        <r>
          <rPr>
            <sz val="9"/>
            <color indexed="81"/>
            <rFont val="Tahoma"/>
            <family val="2"/>
          </rPr>
          <t xml:space="preserve">
Not existing in the actual meter but reflected in the invoice. Meter have no totalizer value for the month of August backwards.</t>
        </r>
      </text>
    </comment>
    <comment ref="AS7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Toribio G. Castro Jr:</t>
        </r>
        <r>
          <rPr>
            <sz val="9"/>
            <color indexed="81"/>
            <rFont val="Tahoma"/>
            <family val="2"/>
          </rPr>
          <t xml:space="preserve">
Toribio G. Castro Jr:
Not existing in the actual meter but reflected in the invoice. Meter have no totalizer value for the month of August backwards.</t>
        </r>
      </text>
    </comment>
    <comment ref="S32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Toribio G. Castro Jr:</t>
        </r>
        <r>
          <rPr>
            <sz val="9"/>
            <color indexed="81"/>
            <rFont val="Tahoma"/>
            <family val="2"/>
          </rPr>
          <t xml:space="preserve">
Not Reflected in the invoice, added on October billing</t>
        </r>
      </text>
    </comment>
    <comment ref="AU32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Toribio G. Castro Jr:</t>
        </r>
        <r>
          <rPr>
            <sz val="9"/>
            <color indexed="81"/>
            <rFont val="Tahoma"/>
            <family val="2"/>
          </rPr>
          <t xml:space="preserve">
Not Reflected in the invoice, to be added on October billing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Toribio G. Castro Jr</author>
  </authors>
  <commentList>
    <comment ref="AU38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Toribio G. Castro Jr:</t>
        </r>
        <r>
          <rPr>
            <sz val="9"/>
            <color indexed="81"/>
            <rFont val="Tahoma"/>
            <family val="2"/>
          </rPr>
          <t xml:space="preserve">
Plus 96 kWh of unbilled consumption for September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Toribio G. Castro Jr</author>
  </authors>
  <commentList>
    <comment ref="AG14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Toribio G. Castro Jr:</t>
        </r>
        <r>
          <rPr>
            <sz val="9"/>
            <color indexed="81"/>
            <rFont val="Tahoma"/>
            <family val="2"/>
          </rPr>
          <t xml:space="preserve">
Diverted to composting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Toribio G. Castro Jr</author>
  </authors>
  <commentList>
    <comment ref="AG14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Toribio G. Castro Jr:</t>
        </r>
        <r>
          <rPr>
            <sz val="9"/>
            <color indexed="81"/>
            <rFont val="Tahoma"/>
            <family val="2"/>
          </rPr>
          <t xml:space="preserve">
Diverted to composting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Toribio G. Castro Jr</author>
  </authors>
  <commentList>
    <comment ref="AG14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Toribio G. Castro Jr:</t>
        </r>
        <r>
          <rPr>
            <sz val="9"/>
            <color indexed="81"/>
            <rFont val="Tahoma"/>
            <family val="2"/>
          </rPr>
          <t xml:space="preserve">
Diverted to composting </t>
        </r>
      </text>
    </comment>
  </commentList>
</comments>
</file>

<file path=xl/sharedStrings.xml><?xml version="1.0" encoding="utf-8"?>
<sst xmlns="http://schemas.openxmlformats.org/spreadsheetml/2006/main" count="1474" uniqueCount="156">
  <si>
    <t>Note: Recording should be done 1st hour of the day</t>
  </si>
  <si>
    <t>DAILY BIOGAS USAGE MONITORING</t>
  </si>
  <si>
    <t>SBVC RECORD</t>
  </si>
  <si>
    <t>DPO RECORD (Lowela)</t>
  </si>
  <si>
    <t>Biogas Operation 
Utility Consumption</t>
  </si>
  <si>
    <t>Remarks/ Shifts</t>
  </si>
  <si>
    <t>Date</t>
  </si>
  <si>
    <t>Day</t>
  </si>
  <si>
    <t>Gas Storage (%)</t>
  </si>
  <si>
    <t>Quality</t>
  </si>
  <si>
    <t>Gas Meters (Nmᶾ)</t>
  </si>
  <si>
    <t>Gas Flare</t>
  </si>
  <si>
    <t>Gas Engine Power Meter (kWh)</t>
  </si>
  <si>
    <t>Diesel Fuel Consumption</t>
  </si>
  <si>
    <t>Biogas Fuel Consumption</t>
  </si>
  <si>
    <t>Ope. Hrs w/ Diesel</t>
  </si>
  <si>
    <t>Ope. Hrs w/ Biogas</t>
  </si>
  <si>
    <t>Waste Hauling Operation</t>
  </si>
  <si>
    <t>F1</t>
  </si>
  <si>
    <t>F2</t>
  </si>
  <si>
    <t>F3</t>
  </si>
  <si>
    <t>Total</t>
  </si>
  <si>
    <t>Methane 
Content</t>
  </si>
  <si>
    <t>Gas Engine Line Totalizer</t>
  </si>
  <si>
    <t>Thermax 2</t>
  </si>
  <si>
    <t>Time</t>
  </si>
  <si>
    <t>Total 
Volume</t>
  </si>
  <si>
    <t>Thermax 1</t>
  </si>
  <si>
    <t>Actual Waste Delivered (MT)</t>
  </si>
  <si>
    <t>DS</t>
  </si>
  <si>
    <t>Electricity @ Biogas plant, kWhr</t>
  </si>
  <si>
    <t>Electricity @ DPO cannery (Blower) , kWhr</t>
  </si>
  <si>
    <t>Water, m3</t>
  </si>
  <si>
    <t>55% Min</t>
  </si>
  <si>
    <t>Totalizer</t>
  </si>
  <si>
    <t>Output</t>
  </si>
  <si>
    <t>Start</t>
  </si>
  <si>
    <t>End</t>
  </si>
  <si>
    <r>
      <t>Nm</t>
    </r>
    <r>
      <rPr>
        <sz val="11"/>
        <color theme="1"/>
        <rFont val="Calibri"/>
        <family val="2"/>
      </rPr>
      <t>³</t>
    </r>
  </si>
  <si>
    <t>Li.</t>
  </si>
  <si>
    <t>Hrs</t>
  </si>
  <si>
    <t>Delivery</t>
  </si>
  <si>
    <t>Cummulative</t>
  </si>
  <si>
    <t xml:space="preserve">% </t>
  </si>
  <si>
    <t>Consumed</t>
  </si>
  <si>
    <t>n/a - biogas not yet opearational</t>
  </si>
  <si>
    <t>n/a</t>
  </si>
  <si>
    <t>No Canning</t>
  </si>
  <si>
    <t>Total/Average</t>
  </si>
  <si>
    <t>Gas Engine 1 Totalizer</t>
  </si>
  <si>
    <t>Gas Engine 2 Totalizer</t>
  </si>
  <si>
    <t>Thermax 1  Consumption</t>
  </si>
  <si>
    <t>Thermax 2 Consumption</t>
  </si>
  <si>
    <t>Consumption</t>
  </si>
  <si>
    <t>no canning</t>
  </si>
  <si>
    <t>JANETTE'S RECORD</t>
  </si>
  <si>
    <t>Gas Engine 1  Power Meter (kWh)</t>
  </si>
  <si>
    <t>Gas Engine 2  Power Meter (kWh)</t>
  </si>
  <si>
    <t>Cannery Waste 
to Biogas, MT</t>
  </si>
  <si>
    <t>Other Fruit Waste to Biogas, MT</t>
  </si>
  <si>
    <t>Total Waste to Biogas, MT</t>
  </si>
  <si>
    <r>
      <rPr>
        <b/>
        <sz val="11"/>
        <color rgb="FFFF0000"/>
        <rFont val="Century Gothic"/>
        <family val="2"/>
      </rPr>
      <t xml:space="preserve">Note: </t>
    </r>
    <r>
      <rPr>
        <sz val="11"/>
        <color theme="1"/>
        <rFont val="Century Gothic"/>
        <family val="2"/>
      </rPr>
      <t>There's adifference of 733 between DPO and SBVC due to different time of reading.</t>
    </r>
  </si>
  <si>
    <t>Added 733 to DPO to coincide since this was already billed</t>
  </si>
  <si>
    <t>Thermax 1 Totalizer</t>
  </si>
  <si>
    <t>Thermax 2 Totalizer</t>
  </si>
  <si>
    <t>-</t>
  </si>
  <si>
    <t>DPO under mini shutdown</t>
  </si>
  <si>
    <t>Gas Engine 2 Power Meter (kWh)</t>
  </si>
  <si>
    <t>Thermax 1 Consumption</t>
  </si>
  <si>
    <t>Gas Engine 1+2 power (kWh)</t>
  </si>
  <si>
    <t>m</t>
  </si>
  <si>
    <t>Biogas Plant under maintenance - no canning</t>
  </si>
  <si>
    <t>1 NS</t>
  </si>
  <si>
    <t>POWER</t>
  </si>
  <si>
    <t>SBVC</t>
  </si>
  <si>
    <t>DPO</t>
  </si>
  <si>
    <t>Difference</t>
  </si>
  <si>
    <t>Invoice</t>
  </si>
  <si>
    <t xml:space="preserve">BUFFER TANK </t>
  </si>
  <si>
    <t>Fruit waste(whole pineapple/banana/Mix )</t>
  </si>
  <si>
    <t>% Level</t>
  </si>
  <si>
    <t>Pineapple Delivery</t>
  </si>
  <si>
    <t>Delivered (MT)</t>
  </si>
  <si>
    <t>_</t>
  </si>
  <si>
    <t>1NS</t>
  </si>
  <si>
    <t> 9896</t>
  </si>
  <si>
    <t>1DS</t>
  </si>
  <si>
    <t xml:space="preserve">       362.74 </t>
  </si>
  <si>
    <t>GAS ENGINE POWER</t>
  </si>
  <si>
    <t>plus 96 kwH of unbilled from September</t>
  </si>
  <si>
    <t>`</t>
  </si>
  <si>
    <t>Pulp</t>
  </si>
  <si>
    <t>Whole Fruit</t>
  </si>
  <si>
    <t>Banana</t>
  </si>
  <si>
    <t>Papaya</t>
  </si>
  <si>
    <t>Other wastes</t>
  </si>
  <si>
    <t xml:space="preserve">Remarks </t>
  </si>
  <si>
    <t>BOILER GAS CONSUMPTION</t>
  </si>
  <si>
    <t>*Note- shared totalizer is real time vs 6 am log on later part of November</t>
  </si>
  <si>
    <t>This value will be deducted on December billing</t>
  </si>
  <si>
    <t>+</t>
  </si>
  <si>
    <t>To be deducted from total consumption since it is already billed in November</t>
  </si>
  <si>
    <t>To be billed</t>
  </si>
  <si>
    <t>Nm3</t>
  </si>
  <si>
    <t>Bill</t>
  </si>
  <si>
    <t>Pesos</t>
  </si>
  <si>
    <t xml:space="preserve">             -  </t>
  </si>
  <si>
    <t xml:space="preserve"> </t>
  </si>
  <si>
    <t>C02</t>
  </si>
  <si>
    <t>Biogas Flare</t>
  </si>
  <si>
    <t>Total Consumption</t>
  </si>
  <si>
    <t>Gas Storage</t>
  </si>
  <si>
    <t>Actual Gas Stored</t>
  </si>
  <si>
    <t>Gas Inventory</t>
  </si>
  <si>
    <t>Net Gas Production</t>
  </si>
  <si>
    <t>Biogas</t>
  </si>
  <si>
    <t>Biomethane</t>
  </si>
  <si>
    <t>Flare</t>
  </si>
  <si>
    <t>Prev</t>
  </si>
  <si>
    <t>SURALLAH BIOGAS VENTURES CORP.</t>
  </si>
  <si>
    <t xml:space="preserve">            DOLE Cannery, Barangay Cannery Site 
   Polomolok, South Cotabato 9504</t>
  </si>
  <si>
    <t>HOURLY GAS MONITORING</t>
  </si>
  <si>
    <t>Polomolok Biogas Facility Power Consumption</t>
  </si>
  <si>
    <t>Month</t>
  </si>
  <si>
    <t>Biogas plant</t>
  </si>
  <si>
    <t>DPO Cannery</t>
  </si>
  <si>
    <t>Counters</t>
  </si>
  <si>
    <t>Previous</t>
  </si>
  <si>
    <t>kWH</t>
  </si>
  <si>
    <t>Jul</t>
  </si>
  <si>
    <t>Aug</t>
  </si>
  <si>
    <t>Sep</t>
  </si>
  <si>
    <t>Oct</t>
  </si>
  <si>
    <t>Nov</t>
  </si>
  <si>
    <t>Dec</t>
  </si>
  <si>
    <t>Jan</t>
  </si>
  <si>
    <t>Remarks</t>
  </si>
  <si>
    <t>Gas Meters (mᶾ)</t>
  </si>
  <si>
    <t xml:space="preserve">          Diesel Fuel Consumption</t>
  </si>
  <si>
    <t>Ope. Hrs</t>
  </si>
  <si>
    <t>Boiler Line Totalizer</t>
  </si>
  <si>
    <t>Thermax</t>
  </si>
  <si>
    <t>Cleaver Brooks</t>
  </si>
  <si>
    <t>Cleaver 
Brooks</t>
  </si>
  <si>
    <t>% DS</t>
  </si>
  <si>
    <t>Electricity</t>
  </si>
  <si>
    <t>Water</t>
  </si>
  <si>
    <t>kWhr</t>
  </si>
  <si>
    <r>
      <t>m</t>
    </r>
    <r>
      <rPr>
        <sz val="11"/>
        <color theme="1"/>
        <rFont val="Calibri"/>
        <family val="2"/>
      </rPr>
      <t>³</t>
    </r>
  </si>
  <si>
    <t>TOTAL / AVERAGE</t>
  </si>
  <si>
    <t>1S</t>
  </si>
  <si>
    <t>2S</t>
  </si>
  <si>
    <t>Non-canning</t>
  </si>
  <si>
    <t>Engine 1</t>
  </si>
  <si>
    <t>Engine 2</t>
  </si>
  <si>
    <r>
      <t>Nm</t>
    </r>
    <r>
      <rPr>
        <sz val="11"/>
        <color theme="1"/>
        <rFont val="Arial Narrow"/>
        <family val="2"/>
      </rPr>
      <t>³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</si>
</sst>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h:mm;@"/>
    <numFmt numFmtId="167" formatCode="[$-3409]mmmm\ dd\,\ yyyy;@"/>
    <numFmt numFmtId="168" formatCode="[$-409]h:mm\ AM/PM;@"/>
    <numFmt numFmtId="169" formatCode="0.0%"/>
    <numFmt numFmtId="170" formatCode="_(* #,##0_);_(* \(#,##0\);_(* &quot;-&quot;?_);_(@_)"/>
    <numFmt numFmtId="171" formatCode="_(* #,##0.0_);_(* \(#,##0.0\);_(* &quot;-&quot;??_);_(@_)"/>
    <numFmt numFmtId="172" formatCode="_(* #,##0.0_);_(* \(#,##0.0\);_(* &quot;-&quot;?_);_(@_)"/>
    <numFmt numFmtId="173" formatCode="#,##0.0"/>
    <numFmt numFmtId="174" formatCode="_(* #,##0.000_);_(* \(#,##0.000\);_(* &quot;-&quot;??_);_(@_)"/>
    <numFmt numFmtId="175" formatCode="[$-F400]h:mm:ss\ AM/PM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b/>
      <sz val="11"/>
      <color theme="1"/>
      <name val="Century Gothic"/>
      <family val="2"/>
    </font>
    <font>
      <sz val="10"/>
      <color theme="1"/>
      <name val="Century Gothic"/>
      <family val="2"/>
    </font>
    <font>
      <sz val="9.5"/>
      <color theme="1"/>
      <name val="Century Gothic"/>
      <family val="2"/>
    </font>
    <font>
      <sz val="9"/>
      <color theme="1"/>
      <name val="Century Gothic"/>
      <family val="2"/>
    </font>
    <font>
      <sz val="8"/>
      <color theme="1"/>
      <name val="Century Gothic"/>
      <family val="2"/>
    </font>
    <font>
      <sz val="11"/>
      <color theme="1"/>
      <name val="Arial Narrow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000000"/>
      <name val="Century Gothic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Century Gothic"/>
      <family val="2"/>
    </font>
    <font>
      <b/>
      <sz val="11"/>
      <color rgb="FF000000"/>
      <name val="Arial"/>
      <family val="2"/>
    </font>
    <font>
      <b/>
      <sz val="11"/>
      <color rgb="FFFF0000"/>
      <name val="Century Gothic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Century Gothic"/>
      <family val="2"/>
    </font>
    <font>
      <b/>
      <sz val="25"/>
      <color theme="8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entury Gothic"/>
      <family val="2"/>
    </font>
    <font>
      <sz val="11"/>
      <name val="Century Gothic"/>
      <family val="2"/>
    </font>
    <font>
      <sz val="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4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</cellStyleXfs>
  <cellXfs count="55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/>
    <xf numFmtId="9" fontId="1" fillId="0" borderId="1" xfId="2" applyFont="1" applyBorder="1" applyAlignment="1">
      <alignment horizontal="center"/>
    </xf>
    <xf numFmtId="164" fontId="1" fillId="0" borderId="1" xfId="1" applyFont="1" applyBorder="1"/>
    <xf numFmtId="167" fontId="1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9" fontId="1" fillId="0" borderId="1" xfId="2" applyNumberFormat="1" applyFont="1" applyBorder="1" applyAlignment="1">
      <alignment horizontal="center"/>
    </xf>
    <xf numFmtId="164" fontId="1" fillId="0" borderId="1" xfId="1" applyFont="1" applyBorder="1" applyAlignment="1">
      <alignment horizontal="center"/>
    </xf>
    <xf numFmtId="2" fontId="1" fillId="0" borderId="1" xfId="1" applyNumberFormat="1" applyFont="1" applyBorder="1" applyAlignment="1">
      <alignment horizontal="center"/>
    </xf>
    <xf numFmtId="0" fontId="1" fillId="0" borderId="1" xfId="1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9" fontId="1" fillId="2" borderId="1" xfId="2" applyFont="1" applyFill="1" applyBorder="1" applyAlignment="1">
      <alignment horizontal="center"/>
    </xf>
    <xf numFmtId="165" fontId="1" fillId="2" borderId="1" xfId="1" applyNumberFormat="1" applyFont="1" applyFill="1" applyBorder="1" applyAlignment="1">
      <alignment horizontal="center"/>
    </xf>
    <xf numFmtId="169" fontId="1" fillId="2" borderId="1" xfId="2" applyNumberFormat="1" applyFont="1" applyFill="1" applyBorder="1" applyAlignment="1">
      <alignment horizontal="center"/>
    </xf>
    <xf numFmtId="165" fontId="1" fillId="2" borderId="1" xfId="0" applyNumberFormat="1" applyFont="1" applyFill="1" applyBorder="1"/>
    <xf numFmtId="165" fontId="1" fillId="2" borderId="1" xfId="1" applyNumberFormat="1" applyFont="1" applyFill="1" applyBorder="1"/>
    <xf numFmtId="166" fontId="1" fillId="2" borderId="1" xfId="3" applyNumberFormat="1" applyFont="1" applyFill="1" applyBorder="1" applyAlignment="1">
      <alignment horizontal="center" vertical="center"/>
    </xf>
    <xf numFmtId="0" fontId="1" fillId="2" borderId="1" xfId="0" applyFont="1" applyFill="1" applyBorder="1"/>
    <xf numFmtId="1" fontId="1" fillId="2" borderId="1" xfId="3" applyNumberFormat="1" applyFont="1" applyFill="1" applyBorder="1" applyAlignment="1">
      <alignment horizontal="center" vertical="center"/>
    </xf>
    <xf numFmtId="168" fontId="1" fillId="2" borderId="1" xfId="0" applyNumberFormat="1" applyFont="1" applyFill="1" applyBorder="1"/>
    <xf numFmtId="169" fontId="1" fillId="2" borderId="1" xfId="0" applyNumberFormat="1" applyFont="1" applyFill="1" applyBorder="1" applyAlignment="1">
      <alignment horizontal="center"/>
    </xf>
    <xf numFmtId="165" fontId="5" fillId="2" borderId="1" xfId="0" applyNumberFormat="1" applyFont="1" applyFill="1" applyBorder="1"/>
    <xf numFmtId="0" fontId="6" fillId="3" borderId="1" xfId="0" applyFont="1" applyFill="1" applyBorder="1" applyAlignment="1">
      <alignment horizontal="center"/>
    </xf>
    <xf numFmtId="164" fontId="1" fillId="3" borderId="1" xfId="1" applyFont="1" applyFill="1" applyBorder="1"/>
    <xf numFmtId="0" fontId="1" fillId="3" borderId="1" xfId="0" applyFont="1" applyFill="1" applyBorder="1"/>
    <xf numFmtId="0" fontId="1" fillId="4" borderId="14" xfId="0" applyFont="1" applyFill="1" applyBorder="1" applyAlignment="1">
      <alignment vertical="center"/>
    </xf>
    <xf numFmtId="0" fontId="1" fillId="4" borderId="9" xfId="0" applyFont="1" applyFill="1" applyBorder="1" applyAlignment="1">
      <alignment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/>
    </xf>
    <xf numFmtId="165" fontId="1" fillId="4" borderId="11" xfId="1" applyNumberFormat="1" applyFont="1" applyFill="1" applyBorder="1" applyAlignment="1">
      <alignment horizontal="center" vertical="center"/>
    </xf>
    <xf numFmtId="9" fontId="1" fillId="4" borderId="1" xfId="0" applyNumberFormat="1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5" fontId="5" fillId="3" borderId="1" xfId="0" applyNumberFormat="1" applyFont="1" applyFill="1" applyBorder="1"/>
    <xf numFmtId="3" fontId="1" fillId="3" borderId="1" xfId="0" applyNumberFormat="1" applyFont="1" applyFill="1" applyBorder="1"/>
    <xf numFmtId="3" fontId="1" fillId="3" borderId="1" xfId="0" applyNumberFormat="1" applyFont="1" applyFill="1" applyBorder="1" applyAlignment="1">
      <alignment horizontal="center" vertical="center"/>
    </xf>
    <xf numFmtId="164" fontId="1" fillId="0" borderId="0" xfId="1" applyFont="1" applyAlignment="1">
      <alignment horizontal="center" vertical="center"/>
    </xf>
    <xf numFmtId="165" fontId="1" fillId="0" borderId="0" xfId="1" applyNumberFormat="1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5" fontId="1" fillId="0" borderId="11" xfId="1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 wrapText="1"/>
    </xf>
    <xf numFmtId="165" fontId="1" fillId="0" borderId="1" xfId="1" applyNumberFormat="1" applyFont="1" applyBorder="1" applyAlignment="1">
      <alignment horizontal="center"/>
    </xf>
    <xf numFmtId="165" fontId="1" fillId="0" borderId="1" xfId="0" applyNumberFormat="1" applyFont="1" applyBorder="1"/>
    <xf numFmtId="165" fontId="1" fillId="0" borderId="1" xfId="1" applyNumberFormat="1" applyFont="1" applyBorder="1"/>
    <xf numFmtId="166" fontId="1" fillId="0" borderId="1" xfId="3" applyNumberFormat="1" applyFont="1" applyBorder="1" applyAlignment="1">
      <alignment horizontal="center" vertical="center"/>
    </xf>
    <xf numFmtId="1" fontId="1" fillId="0" borderId="1" xfId="3" applyNumberFormat="1" applyFont="1" applyBorder="1" applyAlignment="1">
      <alignment horizontal="center" vertical="center"/>
    </xf>
    <xf numFmtId="168" fontId="1" fillId="0" borderId="1" xfId="0" applyNumberFormat="1" applyFont="1" applyBorder="1"/>
    <xf numFmtId="165" fontId="1" fillId="0" borderId="0" xfId="0" applyNumberFormat="1" applyFont="1"/>
    <xf numFmtId="169" fontId="5" fillId="0" borderId="1" xfId="2" applyNumberFormat="1" applyFont="1" applyBorder="1" applyAlignment="1">
      <alignment horizontal="center"/>
    </xf>
    <xf numFmtId="165" fontId="5" fillId="0" borderId="1" xfId="0" applyNumberFormat="1" applyFont="1" applyBorder="1"/>
    <xf numFmtId="169" fontId="5" fillId="0" borderId="1" xfId="2" applyNumberFormat="1" applyFont="1" applyFill="1" applyBorder="1" applyAlignment="1">
      <alignment horizontal="center"/>
    </xf>
    <xf numFmtId="0" fontId="5" fillId="0" borderId="1" xfId="0" applyFont="1" applyBorder="1"/>
    <xf numFmtId="164" fontId="5" fillId="0" borderId="1" xfId="1" applyFont="1" applyFill="1" applyBorder="1"/>
    <xf numFmtId="9" fontId="5" fillId="0" borderId="1" xfId="0" applyNumberFormat="1" applyFont="1" applyBorder="1" applyAlignment="1">
      <alignment horizontal="center"/>
    </xf>
    <xf numFmtId="165" fontId="5" fillId="0" borderId="1" xfId="1" applyNumberFormat="1" applyFont="1" applyBorder="1"/>
    <xf numFmtId="9" fontId="5" fillId="0" borderId="1" xfId="2" applyFont="1" applyBorder="1" applyAlignment="1">
      <alignment horizontal="center"/>
    </xf>
    <xf numFmtId="165" fontId="1" fillId="0" borderId="0" xfId="0" applyNumberFormat="1" applyFont="1" applyAlignment="1">
      <alignment horizontal="center" vertical="center"/>
    </xf>
    <xf numFmtId="165" fontId="1" fillId="0" borderId="0" xfId="1" applyNumberFormat="1" applyFont="1"/>
    <xf numFmtId="164" fontId="1" fillId="0" borderId="0" xfId="0" applyNumberFormat="1" applyFont="1"/>
    <xf numFmtId="10" fontId="1" fillId="0" borderId="1" xfId="2" applyNumberFormat="1" applyFont="1" applyBorder="1" applyAlignment="1">
      <alignment horizontal="center"/>
    </xf>
    <xf numFmtId="165" fontId="1" fillId="3" borderId="1" xfId="1" applyNumberFormat="1" applyFont="1" applyFill="1" applyBorder="1"/>
    <xf numFmtId="165" fontId="1" fillId="3" borderId="1" xfId="1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164" fontId="1" fillId="0" borderId="0" xfId="1" applyFont="1"/>
    <xf numFmtId="170" fontId="1" fillId="0" borderId="0" xfId="0" applyNumberFormat="1" applyFont="1"/>
    <xf numFmtId="165" fontId="1" fillId="0" borderId="0" xfId="0" applyNumberFormat="1" applyFont="1" applyAlignment="1">
      <alignment horizontal="center"/>
    </xf>
    <xf numFmtId="165" fontId="1" fillId="0" borderId="1" xfId="1" applyNumberFormat="1" applyFont="1" applyFill="1" applyBorder="1" applyAlignment="1">
      <alignment horizontal="center" vertical="center"/>
    </xf>
    <xf numFmtId="165" fontId="1" fillId="0" borderId="11" xfId="1" applyNumberFormat="1" applyFont="1" applyFill="1" applyBorder="1" applyAlignment="1">
      <alignment horizontal="center" vertical="center"/>
    </xf>
    <xf numFmtId="165" fontId="1" fillId="3" borderId="1" xfId="1" applyNumberFormat="1" applyFont="1" applyFill="1" applyBorder="1" applyAlignment="1">
      <alignment horizontal="center"/>
    </xf>
    <xf numFmtId="164" fontId="1" fillId="0" borderId="0" xfId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9" fillId="0" borderId="0" xfId="1" applyFont="1"/>
    <xf numFmtId="165" fontId="9" fillId="0" borderId="0" xfId="1" applyNumberFormat="1" applyFont="1"/>
    <xf numFmtId="169" fontId="1" fillId="0" borderId="0" xfId="2" applyNumberFormat="1" applyFont="1"/>
    <xf numFmtId="171" fontId="1" fillId="3" borderId="1" xfId="1" applyNumberFormat="1" applyFont="1" applyFill="1" applyBorder="1"/>
    <xf numFmtId="172" fontId="1" fillId="0" borderId="0" xfId="0" applyNumberFormat="1" applyFont="1"/>
    <xf numFmtId="10" fontId="1" fillId="5" borderId="1" xfId="2" applyNumberFormat="1" applyFont="1" applyFill="1" applyBorder="1" applyAlignment="1">
      <alignment horizontal="center"/>
    </xf>
    <xf numFmtId="9" fontId="1" fillId="5" borderId="1" xfId="2" applyFont="1" applyFill="1" applyBorder="1" applyAlignment="1">
      <alignment horizontal="center"/>
    </xf>
    <xf numFmtId="169" fontId="1" fillId="5" borderId="1" xfId="2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69" fontId="1" fillId="5" borderId="1" xfId="0" applyNumberFormat="1" applyFont="1" applyFill="1" applyBorder="1" applyAlignment="1">
      <alignment horizontal="center"/>
    </xf>
    <xf numFmtId="165" fontId="1" fillId="5" borderId="1" xfId="0" applyNumberFormat="1" applyFont="1" applyFill="1" applyBorder="1"/>
    <xf numFmtId="171" fontId="1" fillId="3" borderId="1" xfId="1" applyNumberFormat="1" applyFont="1" applyFill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3" fontId="1" fillId="3" borderId="1" xfId="0" applyNumberFormat="1" applyFont="1" applyFill="1" applyBorder="1" applyAlignment="1">
      <alignment horizontal="right"/>
    </xf>
    <xf numFmtId="3" fontId="1" fillId="3" borderId="1" xfId="0" applyNumberFormat="1" applyFont="1" applyFill="1" applyBorder="1" applyAlignment="1">
      <alignment horizontal="center"/>
    </xf>
    <xf numFmtId="0" fontId="10" fillId="0" borderId="1" xfId="0" applyFont="1" applyBorder="1" applyAlignment="1">
      <alignment horizontal="right" vertical="center"/>
    </xf>
    <xf numFmtId="165" fontId="1" fillId="3" borderId="1" xfId="1" applyNumberFormat="1" applyFont="1" applyFill="1" applyBorder="1" applyAlignment="1">
      <alignment horizontal="right" vertical="center"/>
    </xf>
    <xf numFmtId="165" fontId="1" fillId="3" borderId="1" xfId="1" applyNumberFormat="1" applyFont="1" applyFill="1" applyBorder="1" applyAlignment="1">
      <alignment horizontal="right"/>
    </xf>
    <xf numFmtId="165" fontId="5" fillId="3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right" vertical="center"/>
    </xf>
    <xf numFmtId="165" fontId="5" fillId="3" borderId="1" xfId="1" applyNumberFormat="1" applyFont="1" applyFill="1" applyBorder="1" applyAlignment="1">
      <alignment horizontal="right" vertical="center"/>
    </xf>
    <xf numFmtId="165" fontId="5" fillId="3" borderId="1" xfId="1" applyNumberFormat="1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right" vertical="center"/>
    </xf>
    <xf numFmtId="3" fontId="1" fillId="2" borderId="1" xfId="0" applyNumberFormat="1" applyFont="1" applyFill="1" applyBorder="1"/>
    <xf numFmtId="3" fontId="1" fillId="2" borderId="1" xfId="0" applyNumberFormat="1" applyFont="1" applyFill="1" applyBorder="1" applyAlignment="1">
      <alignment horizontal="center" vertical="center"/>
    </xf>
    <xf numFmtId="9" fontId="11" fillId="5" borderId="16" xfId="0" applyNumberFormat="1" applyFont="1" applyFill="1" applyBorder="1" applyAlignment="1">
      <alignment horizontal="center" vertical="center"/>
    </xf>
    <xf numFmtId="165" fontId="12" fillId="2" borderId="1" xfId="1" applyNumberFormat="1" applyFont="1" applyFill="1" applyBorder="1" applyAlignment="1">
      <alignment horizontal="center"/>
    </xf>
    <xf numFmtId="169" fontId="11" fillId="5" borderId="17" xfId="5" applyNumberFormat="1" applyFont="1" applyFill="1" applyBorder="1" applyAlignment="1"/>
    <xf numFmtId="169" fontId="11" fillId="5" borderId="17" xfId="5" applyNumberFormat="1" applyFont="1" applyFill="1" applyBorder="1" applyAlignment="1">
      <alignment vertical="center"/>
    </xf>
    <xf numFmtId="169" fontId="11" fillId="5" borderId="18" xfId="5" applyNumberFormat="1" applyFont="1" applyFill="1" applyBorder="1" applyAlignment="1"/>
    <xf numFmtId="169" fontId="11" fillId="5" borderId="18" xfId="5" applyNumberFormat="1" applyFont="1" applyFill="1" applyBorder="1" applyAlignment="1">
      <alignment vertical="center"/>
    </xf>
    <xf numFmtId="9" fontId="11" fillId="5" borderId="19" xfId="5" applyFont="1" applyFill="1" applyBorder="1" applyAlignment="1">
      <alignment horizontal="center" vertical="center"/>
    </xf>
    <xf numFmtId="169" fontId="11" fillId="5" borderId="20" xfId="3" applyNumberFormat="1" applyFont="1" applyFill="1" applyBorder="1" applyAlignment="1">
      <alignment vertical="center"/>
    </xf>
    <xf numFmtId="9" fontId="12" fillId="5" borderId="1" xfId="2" applyFont="1" applyFill="1" applyBorder="1" applyAlignment="1">
      <alignment horizontal="center"/>
    </xf>
    <xf numFmtId="169" fontId="12" fillId="5" borderId="1" xfId="5" applyNumberFormat="1" applyFont="1" applyFill="1" applyBorder="1" applyAlignment="1">
      <alignment horizontal="right"/>
    </xf>
    <xf numFmtId="9" fontId="11" fillId="5" borderId="21" xfId="3" applyNumberFormat="1" applyFont="1" applyFill="1" applyBorder="1" applyAlignment="1">
      <alignment horizontal="center" vertical="center"/>
    </xf>
    <xf numFmtId="169" fontId="11" fillId="5" borderId="22" xfId="3" applyNumberFormat="1" applyFont="1" applyFill="1" applyBorder="1" applyAlignment="1">
      <alignment vertical="center"/>
    </xf>
    <xf numFmtId="0" fontId="9" fillId="0" borderId="1" xfId="0" applyFont="1" applyBorder="1" applyAlignment="1">
      <alignment horizontal="center"/>
    </xf>
    <xf numFmtId="165" fontId="1" fillId="2" borderId="10" xfId="1" applyNumberFormat="1" applyFont="1" applyFill="1" applyBorder="1"/>
    <xf numFmtId="3" fontId="13" fillId="5" borderId="0" xfId="3" applyNumberFormat="1" applyFont="1" applyFill="1" applyAlignment="1">
      <alignment horizontal="right" vertical="center"/>
    </xf>
    <xf numFmtId="165" fontId="11" fillId="6" borderId="23" xfId="4" applyNumberFormat="1" applyFont="1" applyFill="1" applyBorder="1" applyAlignment="1">
      <alignment horizontal="right" vertical="center"/>
    </xf>
    <xf numFmtId="165" fontId="11" fillId="5" borderId="24" xfId="4" applyNumberFormat="1" applyFont="1" applyFill="1" applyBorder="1" applyAlignment="1">
      <alignment horizontal="left" vertical="center"/>
    </xf>
    <xf numFmtId="165" fontId="1" fillId="2" borderId="11" xfId="1" applyNumberFormat="1" applyFont="1" applyFill="1" applyBorder="1"/>
    <xf numFmtId="165" fontId="11" fillId="5" borderId="25" xfId="4" applyNumberFormat="1" applyFont="1" applyFill="1" applyBorder="1" applyAlignment="1">
      <alignment horizontal="left" vertical="center"/>
    </xf>
    <xf numFmtId="165" fontId="1" fillId="5" borderId="0" xfId="1" applyNumberFormat="1" applyFont="1" applyFill="1" applyBorder="1"/>
    <xf numFmtId="165" fontId="1" fillId="5" borderId="14" xfId="1" applyNumberFormat="1" applyFont="1" applyFill="1" applyBorder="1"/>
    <xf numFmtId="165" fontId="1" fillId="5" borderId="15" xfId="1" applyNumberFormat="1" applyFont="1" applyFill="1" applyBorder="1"/>
    <xf numFmtId="164" fontId="1" fillId="0" borderId="11" xfId="1" applyFont="1" applyBorder="1"/>
    <xf numFmtId="0" fontId="1" fillId="0" borderId="1" xfId="0" applyFont="1" applyBorder="1" applyAlignment="1">
      <alignment horizontal="right" vertical="center"/>
    </xf>
    <xf numFmtId="0" fontId="14" fillId="0" borderId="1" xfId="0" applyFont="1" applyBorder="1" applyAlignment="1">
      <alignment horizontal="right" vertical="center"/>
    </xf>
    <xf numFmtId="165" fontId="5" fillId="7" borderId="1" xfId="0" applyNumberFormat="1" applyFont="1" applyFill="1" applyBorder="1"/>
    <xf numFmtId="173" fontId="1" fillId="3" borderId="1" xfId="0" applyNumberFormat="1" applyFont="1" applyFill="1" applyBorder="1" applyAlignment="1">
      <alignment vertical="center"/>
    </xf>
    <xf numFmtId="3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9" fontId="11" fillId="8" borderId="26" xfId="0" applyNumberFormat="1" applyFont="1" applyFill="1" applyBorder="1" applyAlignment="1">
      <alignment horizontal="center"/>
    </xf>
    <xf numFmtId="9" fontId="11" fillId="8" borderId="27" xfId="0" applyNumberFormat="1" applyFont="1" applyFill="1" applyBorder="1" applyAlignment="1">
      <alignment horizontal="center"/>
    </xf>
    <xf numFmtId="1" fontId="11" fillId="9" borderId="26" xfId="4" applyNumberFormat="1" applyFont="1" applyFill="1" applyBorder="1" applyAlignment="1">
      <alignment horizontal="right" vertical="center"/>
    </xf>
    <xf numFmtId="169" fontId="11" fillId="8" borderId="17" xfId="0" applyNumberFormat="1" applyFont="1" applyFill="1" applyBorder="1" applyAlignment="1">
      <alignment horizontal="center" vertical="center"/>
    </xf>
    <xf numFmtId="3" fontId="11" fillId="10" borderId="28" xfId="0" applyNumberFormat="1" applyFont="1" applyFill="1" applyBorder="1"/>
    <xf numFmtId="9" fontId="11" fillId="8" borderId="16" xfId="0" applyNumberFormat="1" applyFont="1" applyFill="1" applyBorder="1" applyAlignment="1">
      <alignment horizontal="center"/>
    </xf>
    <xf numFmtId="9" fontId="11" fillId="8" borderId="29" xfId="0" applyNumberFormat="1" applyFont="1" applyFill="1" applyBorder="1" applyAlignment="1">
      <alignment horizontal="center"/>
    </xf>
    <xf numFmtId="169" fontId="11" fillId="8" borderId="18" xfId="0" applyNumberFormat="1" applyFont="1" applyFill="1" applyBorder="1" applyAlignment="1">
      <alignment horizontal="center" vertical="center"/>
    </xf>
    <xf numFmtId="3" fontId="11" fillId="10" borderId="30" xfId="0" applyNumberFormat="1" applyFont="1" applyFill="1" applyBorder="1"/>
    <xf numFmtId="165" fontId="11" fillId="10" borderId="30" xfId="4" applyNumberFormat="1" applyFont="1" applyFill="1" applyBorder="1" applyAlignment="1">
      <alignment horizontal="left" vertical="center"/>
    </xf>
    <xf numFmtId="169" fontId="11" fillId="5" borderId="18" xfId="5" applyNumberFormat="1" applyFont="1" applyFill="1" applyBorder="1" applyAlignment="1">
      <alignment horizontal="center" vertical="center"/>
    </xf>
    <xf numFmtId="169" fontId="12" fillId="5" borderId="1" xfId="5" applyNumberFormat="1" applyFont="1" applyFill="1" applyBorder="1" applyAlignment="1">
      <alignment horizontal="center" vertical="center"/>
    </xf>
    <xf numFmtId="165" fontId="11" fillId="10" borderId="28" xfId="4" applyNumberFormat="1" applyFont="1" applyFill="1" applyBorder="1" applyAlignment="1">
      <alignment horizontal="left" vertical="center"/>
    </xf>
    <xf numFmtId="9" fontId="12" fillId="10" borderId="1" xfId="2" applyFont="1" applyFill="1" applyBorder="1" applyAlignment="1">
      <alignment horizontal="center"/>
    </xf>
    <xf numFmtId="169" fontId="11" fillId="5" borderId="22" xfId="3" applyNumberFormat="1" applyFont="1" applyFill="1" applyBorder="1" applyAlignment="1">
      <alignment horizontal="center" vertical="center"/>
    </xf>
    <xf numFmtId="9" fontId="11" fillId="10" borderId="19" xfId="5" applyFont="1" applyFill="1" applyBorder="1" applyAlignment="1">
      <alignment horizontal="center" vertical="center"/>
    </xf>
    <xf numFmtId="9" fontId="11" fillId="10" borderId="21" xfId="3" applyNumberFormat="1" applyFont="1" applyFill="1" applyBorder="1" applyAlignment="1">
      <alignment horizontal="center" vertical="center"/>
    </xf>
    <xf numFmtId="9" fontId="11" fillId="5" borderId="1" xfId="5" applyFont="1" applyFill="1" applyBorder="1" applyAlignment="1">
      <alignment horizontal="center" vertical="center"/>
    </xf>
    <xf numFmtId="9" fontId="11" fillId="5" borderId="1" xfId="3" applyNumberFormat="1" applyFont="1" applyFill="1" applyBorder="1" applyAlignment="1">
      <alignment horizontal="center" vertical="center"/>
    </xf>
    <xf numFmtId="1" fontId="11" fillId="9" borderId="27" xfId="4" applyNumberFormat="1" applyFont="1" applyFill="1" applyBorder="1" applyAlignment="1">
      <alignment horizontal="right" vertical="center"/>
    </xf>
    <xf numFmtId="169" fontId="11" fillId="5" borderId="14" xfId="3" applyNumberFormat="1" applyFont="1" applyFill="1" applyBorder="1" applyAlignment="1">
      <alignment horizontal="center" vertical="center"/>
    </xf>
    <xf numFmtId="165" fontId="11" fillId="10" borderId="14" xfId="4" applyNumberFormat="1" applyFont="1" applyFill="1" applyBorder="1" applyAlignment="1">
      <alignment horizontal="left" vertical="center"/>
    </xf>
    <xf numFmtId="169" fontId="11" fillId="5" borderId="17" xfId="5" applyNumberFormat="1" applyFont="1" applyFill="1" applyBorder="1" applyAlignment="1">
      <alignment horizontal="center" vertical="center"/>
    </xf>
    <xf numFmtId="3" fontId="13" fillId="10" borderId="0" xfId="3" applyNumberFormat="1" applyFont="1" applyFill="1" applyAlignment="1">
      <alignment horizontal="right" vertical="center"/>
    </xf>
    <xf numFmtId="9" fontId="11" fillId="5" borderId="31" xfId="0" applyNumberFormat="1" applyFont="1" applyFill="1" applyBorder="1" applyAlignment="1">
      <alignment horizontal="center" vertical="center"/>
    </xf>
    <xf numFmtId="9" fontId="11" fillId="5" borderId="1" xfId="0" applyNumberFormat="1" applyFont="1" applyFill="1" applyBorder="1" applyAlignment="1">
      <alignment horizontal="center" vertical="center"/>
    </xf>
    <xf numFmtId="169" fontId="11" fillId="5" borderId="32" xfId="5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 vertical="center"/>
    </xf>
    <xf numFmtId="9" fontId="1" fillId="0" borderId="8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11" xfId="1" applyNumberFormat="1" applyFont="1" applyFill="1" applyBorder="1" applyAlignment="1">
      <alignment horizontal="center" vertical="center"/>
    </xf>
    <xf numFmtId="1" fontId="5" fillId="0" borderId="1" xfId="0" applyNumberFormat="1" applyFont="1" applyBorder="1"/>
    <xf numFmtId="169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/>
    <xf numFmtId="9" fontId="11" fillId="8" borderId="16" xfId="0" applyNumberFormat="1" applyFont="1" applyFill="1" applyBorder="1" applyAlignment="1">
      <alignment horizontal="center" vertical="center"/>
    </xf>
    <xf numFmtId="9" fontId="11" fillId="8" borderId="31" xfId="0" applyNumberFormat="1" applyFont="1" applyFill="1" applyBorder="1" applyAlignment="1">
      <alignment horizontal="center" vertical="center"/>
    </xf>
    <xf numFmtId="9" fontId="11" fillId="8" borderId="1" xfId="0" applyNumberFormat="1" applyFont="1" applyFill="1" applyBorder="1" applyAlignment="1">
      <alignment horizontal="center" vertical="center"/>
    </xf>
    <xf numFmtId="9" fontId="11" fillId="8" borderId="19" xfId="0" applyNumberFormat="1" applyFont="1" applyFill="1" applyBorder="1" applyAlignment="1">
      <alignment horizontal="center" vertical="center"/>
    </xf>
    <xf numFmtId="9" fontId="11" fillId="8" borderId="1" xfId="0" applyNumberFormat="1" applyFont="1" applyFill="1" applyBorder="1" applyAlignment="1">
      <alignment horizontal="center"/>
    </xf>
    <xf numFmtId="3" fontId="13" fillId="8" borderId="0" xfId="0" applyNumberFormat="1" applyFont="1" applyFill="1" applyAlignment="1">
      <alignment horizontal="center" vertical="center"/>
    </xf>
    <xf numFmtId="3" fontId="11" fillId="8" borderId="30" xfId="0" applyNumberFormat="1" applyFont="1" applyFill="1" applyBorder="1" applyAlignment="1">
      <alignment horizontal="center" vertical="center"/>
    </xf>
    <xf numFmtId="3" fontId="11" fillId="8" borderId="28" xfId="0" applyNumberFormat="1" applyFont="1" applyFill="1" applyBorder="1" applyAlignment="1">
      <alignment horizontal="center"/>
    </xf>
    <xf numFmtId="3" fontId="11" fillId="8" borderId="30" xfId="0" applyNumberFormat="1" applyFont="1" applyFill="1" applyBorder="1" applyAlignment="1">
      <alignment horizontal="center"/>
    </xf>
    <xf numFmtId="3" fontId="11" fillId="8" borderId="28" xfId="0" applyNumberFormat="1" applyFont="1" applyFill="1" applyBorder="1" applyAlignment="1">
      <alignment horizontal="center" vertical="center"/>
    </xf>
    <xf numFmtId="0" fontId="13" fillId="5" borderId="17" xfId="0" applyFont="1" applyFill="1" applyBorder="1" applyAlignment="1">
      <alignment horizontal="center"/>
    </xf>
    <xf numFmtId="0" fontId="13" fillId="5" borderId="18" xfId="0" applyFont="1" applyFill="1" applyBorder="1" applyAlignment="1">
      <alignment horizontal="center"/>
    </xf>
    <xf numFmtId="0" fontId="15" fillId="5" borderId="8" xfId="0" applyFont="1" applyFill="1" applyBorder="1" applyAlignment="1">
      <alignment horizontal="center" vertical="center"/>
    </xf>
    <xf numFmtId="2" fontId="15" fillId="5" borderId="8" xfId="0" applyNumberFormat="1" applyFont="1" applyFill="1" applyBorder="1" applyAlignment="1">
      <alignment horizontal="center" vertical="center"/>
    </xf>
    <xf numFmtId="0" fontId="13" fillId="11" borderId="18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2" fontId="13" fillId="5" borderId="8" xfId="0" applyNumberFormat="1" applyFont="1" applyFill="1" applyBorder="1" applyAlignment="1">
      <alignment horizontal="center" vertical="center"/>
    </xf>
    <xf numFmtId="0" fontId="13" fillId="5" borderId="33" xfId="0" applyFont="1" applyFill="1" applyBorder="1" applyAlignment="1">
      <alignment horizontal="center"/>
    </xf>
    <xf numFmtId="169" fontId="11" fillId="8" borderId="17" xfId="0" applyNumberFormat="1" applyFont="1" applyFill="1" applyBorder="1" applyAlignment="1">
      <alignment horizontal="center"/>
    </xf>
    <xf numFmtId="3" fontId="11" fillId="8" borderId="30" xfId="0" applyNumberFormat="1" applyFont="1" applyFill="1" applyBorder="1" applyAlignment="1">
      <alignment horizontal="right" vertical="center"/>
    </xf>
    <xf numFmtId="3" fontId="13" fillId="8" borderId="0" xfId="0" applyNumberFormat="1" applyFont="1" applyFill="1" applyAlignment="1">
      <alignment horizontal="right"/>
    </xf>
    <xf numFmtId="3" fontId="11" fillId="8" borderId="30" xfId="0" applyNumberFormat="1" applyFont="1" applyFill="1" applyBorder="1" applyAlignment="1">
      <alignment horizontal="right"/>
    </xf>
    <xf numFmtId="3" fontId="11" fillId="8" borderId="28" xfId="0" applyNumberFormat="1" applyFont="1" applyFill="1" applyBorder="1" applyAlignment="1">
      <alignment horizontal="right"/>
    </xf>
    <xf numFmtId="3" fontId="11" fillId="8" borderId="28" xfId="0" applyNumberFormat="1" applyFont="1" applyFill="1" applyBorder="1" applyAlignment="1">
      <alignment horizontal="right" vertical="center"/>
    </xf>
    <xf numFmtId="165" fontId="11" fillId="10" borderId="30" xfId="4" applyNumberFormat="1" applyFont="1" applyFill="1" applyBorder="1" applyAlignment="1">
      <alignment horizontal="right" vertical="center"/>
    </xf>
    <xf numFmtId="165" fontId="11" fillId="10" borderId="30" xfId="4" applyNumberFormat="1" applyFont="1" applyFill="1" applyBorder="1" applyAlignment="1">
      <alignment horizontal="center" vertical="center"/>
    </xf>
    <xf numFmtId="1" fontId="1" fillId="3" borderId="1" xfId="1" applyNumberFormat="1" applyFont="1" applyFill="1" applyBorder="1" applyAlignment="1">
      <alignment horizontal="center"/>
    </xf>
    <xf numFmtId="3" fontId="14" fillId="12" borderId="1" xfId="0" applyNumberFormat="1" applyFont="1" applyFill="1" applyBorder="1"/>
    <xf numFmtId="3" fontId="14" fillId="12" borderId="11" xfId="0" applyNumberFormat="1" applyFont="1" applyFill="1" applyBorder="1"/>
    <xf numFmtId="0" fontId="14" fillId="12" borderId="1" xfId="0" applyFont="1" applyFill="1" applyBorder="1" applyAlignment="1">
      <alignment horizontal="center"/>
    </xf>
    <xf numFmtId="0" fontId="14" fillId="12" borderId="11" xfId="0" applyFont="1" applyFill="1" applyBorder="1" applyAlignment="1">
      <alignment horizontal="center"/>
    </xf>
    <xf numFmtId="3" fontId="14" fillId="12" borderId="9" xfId="0" applyNumberFormat="1" applyFont="1" applyFill="1" applyBorder="1"/>
    <xf numFmtId="3" fontId="14" fillId="12" borderId="7" xfId="0" applyNumberFormat="1" applyFont="1" applyFill="1" applyBorder="1"/>
    <xf numFmtId="3" fontId="14" fillId="12" borderId="0" xfId="0" applyNumberFormat="1" applyFont="1" applyFill="1" applyAlignment="1">
      <alignment horizontal="center"/>
    </xf>
    <xf numFmtId="3" fontId="14" fillId="12" borderId="1" xfId="0" applyNumberFormat="1" applyFont="1" applyFill="1" applyBorder="1" applyAlignment="1">
      <alignment horizontal="center"/>
    </xf>
    <xf numFmtId="3" fontId="1" fillId="3" borderId="1" xfId="1" applyNumberFormat="1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165" fontId="0" fillId="0" borderId="1" xfId="1" applyNumberFormat="1" applyFont="1" applyBorder="1"/>
    <xf numFmtId="3" fontId="0" fillId="0" borderId="1" xfId="0" applyNumberFormat="1" applyBorder="1"/>
    <xf numFmtId="1" fontId="1" fillId="3" borderId="1" xfId="1" applyNumberFormat="1" applyFont="1" applyFill="1" applyBorder="1"/>
    <xf numFmtId="1" fontId="14" fillId="12" borderId="1" xfId="0" applyNumberFormat="1" applyFont="1" applyFill="1" applyBorder="1"/>
    <xf numFmtId="1" fontId="14" fillId="12" borderId="11" xfId="0" applyNumberFormat="1" applyFont="1" applyFill="1" applyBorder="1"/>
    <xf numFmtId="3" fontId="1" fillId="3" borderId="1" xfId="1" applyNumberFormat="1" applyFont="1" applyFill="1" applyBorder="1" applyAlignment="1">
      <alignment horizontal="right"/>
    </xf>
    <xf numFmtId="3" fontId="14" fillId="12" borderId="0" xfId="0" applyNumberFormat="1" applyFont="1" applyFill="1" applyAlignment="1">
      <alignment horizontal="right"/>
    </xf>
    <xf numFmtId="3" fontId="14" fillId="12" borderId="1" xfId="0" applyNumberFormat="1" applyFont="1" applyFill="1" applyBorder="1" applyAlignment="1">
      <alignment horizontal="right"/>
    </xf>
    <xf numFmtId="3" fontId="14" fillId="12" borderId="11" xfId="0" applyNumberFormat="1" applyFont="1" applyFill="1" applyBorder="1" applyAlignment="1">
      <alignment horizontal="right"/>
    </xf>
    <xf numFmtId="0" fontId="0" fillId="13" borderId="1" xfId="0" applyFill="1" applyBorder="1"/>
    <xf numFmtId="165" fontId="0" fillId="13" borderId="1" xfId="0" applyNumberFormat="1" applyFill="1" applyBorder="1"/>
    <xf numFmtId="0" fontId="1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165" fontId="1" fillId="3" borderId="1" xfId="0" applyNumberFormat="1" applyFont="1" applyFill="1" applyBorder="1"/>
    <xf numFmtId="0" fontId="1" fillId="0" borderId="0" xfId="0" applyFont="1" applyAlignment="1">
      <alignment horizontal="center" vertical="center" wrapText="1"/>
    </xf>
    <xf numFmtId="0" fontId="13" fillId="5" borderId="34" xfId="0" applyFont="1" applyFill="1" applyBorder="1" applyAlignment="1">
      <alignment horizontal="center"/>
    </xf>
    <xf numFmtId="0" fontId="13" fillId="5" borderId="35" xfId="0" applyFont="1" applyFill="1" applyBorder="1" applyAlignment="1">
      <alignment horizontal="center"/>
    </xf>
    <xf numFmtId="0" fontId="13" fillId="5" borderId="36" xfId="0" applyFont="1" applyFill="1" applyBorder="1" applyAlignment="1">
      <alignment horizontal="center"/>
    </xf>
    <xf numFmtId="0" fontId="13" fillId="5" borderId="37" xfId="0" applyFont="1" applyFill="1" applyBorder="1" applyAlignment="1">
      <alignment horizontal="center"/>
    </xf>
    <xf numFmtId="0" fontId="13" fillId="11" borderId="3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165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2" fontId="5" fillId="0" borderId="1" xfId="0" applyNumberFormat="1" applyFont="1" applyBorder="1" applyAlignment="1">
      <alignment horizontal="center"/>
    </xf>
    <xf numFmtId="0" fontId="13" fillId="5" borderId="1" xfId="0" applyFont="1" applyFill="1" applyBorder="1" applyAlignment="1">
      <alignment horizontal="center" vertical="center"/>
    </xf>
    <xf numFmtId="2" fontId="13" fillId="5" borderId="1" xfId="0" applyNumberFormat="1" applyFont="1" applyFill="1" applyBorder="1" applyAlignment="1">
      <alignment horizontal="center" vertical="center"/>
    </xf>
    <xf numFmtId="2" fontId="15" fillId="5" borderId="1" xfId="0" applyNumberFormat="1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center"/>
    </xf>
    <xf numFmtId="164" fontId="1" fillId="5" borderId="1" xfId="1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6" fillId="5" borderId="1" xfId="0" applyFont="1" applyFill="1" applyBorder="1" applyAlignment="1">
      <alignment horizontal="center"/>
    </xf>
    <xf numFmtId="4" fontId="14" fillId="5" borderId="9" xfId="0" applyNumberFormat="1" applyFont="1" applyFill="1" applyBorder="1" applyAlignment="1">
      <alignment horizontal="center"/>
    </xf>
    <xf numFmtId="4" fontId="14" fillId="5" borderId="7" xfId="0" applyNumberFormat="1" applyFont="1" applyFill="1" applyBorder="1" applyAlignment="1">
      <alignment horizontal="center"/>
    </xf>
    <xf numFmtId="164" fontId="12" fillId="5" borderId="1" xfId="1" applyFont="1" applyFill="1" applyBorder="1" applyAlignment="1">
      <alignment horizontal="center" vertical="center"/>
    </xf>
    <xf numFmtId="164" fontId="12" fillId="5" borderId="1" xfId="1" applyFont="1" applyFill="1" applyBorder="1" applyAlignment="1">
      <alignment horizontal="center"/>
    </xf>
    <xf numFmtId="0" fontId="0" fillId="0" borderId="1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64" fontId="1" fillId="14" borderId="9" xfId="1" applyFont="1" applyFill="1" applyBorder="1"/>
    <xf numFmtId="164" fontId="1" fillId="14" borderId="7" xfId="1" applyFont="1" applyFill="1" applyBorder="1"/>
    <xf numFmtId="164" fontId="1" fillId="14" borderId="1" xfId="1" applyFont="1" applyFill="1" applyBorder="1"/>
    <xf numFmtId="164" fontId="5" fillId="0" borderId="1" xfId="1" applyFont="1" applyFill="1" applyBorder="1" applyAlignment="1">
      <alignment horizontal="center"/>
    </xf>
    <xf numFmtId="4" fontId="1" fillId="3" borderId="1" xfId="0" applyNumberFormat="1" applyFont="1" applyFill="1" applyBorder="1" applyAlignment="1">
      <alignment horizontal="right" vertical="center"/>
    </xf>
    <xf numFmtId="4" fontId="5" fillId="0" borderId="1" xfId="0" applyNumberFormat="1" applyFont="1" applyBorder="1"/>
    <xf numFmtId="165" fontId="1" fillId="16" borderId="1" xfId="0" applyNumberFormat="1" applyFont="1" applyFill="1" applyBorder="1"/>
    <xf numFmtId="0" fontId="14" fillId="12" borderId="1" xfId="0" applyFont="1" applyFill="1" applyBorder="1"/>
    <xf numFmtId="0" fontId="14" fillId="12" borderId="11" xfId="0" applyFont="1" applyFill="1" applyBorder="1"/>
    <xf numFmtId="0" fontId="1" fillId="4" borderId="8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9" fontId="11" fillId="8" borderId="16" xfId="0" applyNumberFormat="1" applyFont="1" applyFill="1" applyBorder="1"/>
    <xf numFmtId="9" fontId="11" fillId="8" borderId="29" xfId="0" applyNumberFormat="1" applyFont="1" applyFill="1" applyBorder="1"/>
    <xf numFmtId="9" fontId="11" fillId="8" borderId="26" xfId="0" applyNumberFormat="1" applyFont="1" applyFill="1" applyBorder="1"/>
    <xf numFmtId="9" fontId="11" fillId="8" borderId="27" xfId="0" applyNumberFormat="1" applyFont="1" applyFill="1" applyBorder="1"/>
    <xf numFmtId="3" fontId="11" fillId="15" borderId="23" xfId="0" applyNumberFormat="1" applyFont="1" applyFill="1" applyBorder="1"/>
    <xf numFmtId="9" fontId="11" fillId="8" borderId="31" xfId="0" applyNumberFormat="1" applyFont="1" applyFill="1" applyBorder="1" applyAlignment="1">
      <alignment horizontal="right"/>
    </xf>
    <xf numFmtId="10" fontId="11" fillId="8" borderId="17" xfId="0" applyNumberFormat="1" applyFont="1" applyFill="1" applyBorder="1" applyAlignment="1">
      <alignment horizontal="center"/>
    </xf>
    <xf numFmtId="10" fontId="11" fillId="5" borderId="18" xfId="5" applyNumberFormat="1" applyFont="1" applyFill="1" applyBorder="1" applyAlignment="1">
      <alignment horizontal="center"/>
    </xf>
    <xf numFmtId="10" fontId="11" fillId="5" borderId="32" xfId="5" applyNumberFormat="1" applyFont="1" applyFill="1" applyBorder="1" applyAlignment="1">
      <alignment horizontal="center" vertical="center"/>
    </xf>
    <xf numFmtId="10" fontId="11" fillId="8" borderId="18" xfId="0" applyNumberFormat="1" applyFont="1" applyFill="1" applyBorder="1" applyAlignment="1">
      <alignment horizontal="center" vertical="center"/>
    </xf>
    <xf numFmtId="10" fontId="11" fillId="8" borderId="17" xfId="0" applyNumberFormat="1" applyFont="1" applyFill="1" applyBorder="1" applyAlignment="1">
      <alignment horizontal="center" vertical="center"/>
    </xf>
    <xf numFmtId="10" fontId="11" fillId="5" borderId="18" xfId="5" applyNumberFormat="1" applyFont="1" applyFill="1" applyBorder="1" applyAlignment="1">
      <alignment horizontal="center" vertical="center"/>
    </xf>
    <xf numFmtId="10" fontId="12" fillId="5" borderId="1" xfId="5" applyNumberFormat="1" applyFont="1" applyFill="1" applyBorder="1" applyAlignment="1">
      <alignment horizontal="center" vertical="center"/>
    </xf>
    <xf numFmtId="10" fontId="11" fillId="5" borderId="22" xfId="3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20" fillId="4" borderId="8" xfId="0" applyFont="1" applyFill="1" applyBorder="1" applyAlignment="1">
      <alignment horizontal="center" vertical="center" wrapText="1"/>
    </xf>
    <xf numFmtId="9" fontId="11" fillId="8" borderId="1" xfId="0" applyNumberFormat="1" applyFont="1" applyFill="1" applyBorder="1" applyAlignment="1">
      <alignment horizontal="right" vertical="center"/>
    </xf>
    <xf numFmtId="9" fontId="11" fillId="8" borderId="26" xfId="0" applyNumberFormat="1" applyFont="1" applyFill="1" applyBorder="1" applyAlignment="1">
      <alignment horizontal="right"/>
    </xf>
    <xf numFmtId="9" fontId="11" fillId="8" borderId="27" xfId="0" applyNumberFormat="1" applyFont="1" applyFill="1" applyBorder="1" applyAlignment="1">
      <alignment horizontal="right"/>
    </xf>
    <xf numFmtId="9" fontId="11" fillId="8" borderId="16" xfId="0" applyNumberFormat="1" applyFont="1" applyFill="1" applyBorder="1" applyAlignment="1">
      <alignment horizontal="right"/>
    </xf>
    <xf numFmtId="9" fontId="11" fillId="8" borderId="29" xfId="0" applyNumberFormat="1" applyFont="1" applyFill="1" applyBorder="1" applyAlignment="1">
      <alignment horizontal="right"/>
    </xf>
    <xf numFmtId="9" fontId="11" fillId="8" borderId="16" xfId="0" applyNumberFormat="1" applyFont="1" applyFill="1" applyBorder="1" applyAlignment="1">
      <alignment horizontal="right" vertical="center"/>
    </xf>
    <xf numFmtId="9" fontId="11" fillId="8" borderId="19" xfId="0" applyNumberFormat="1" applyFont="1" applyFill="1" applyBorder="1" applyAlignment="1">
      <alignment horizontal="right" vertical="center"/>
    </xf>
    <xf numFmtId="9" fontId="11" fillId="8" borderId="1" xfId="0" applyNumberFormat="1" applyFont="1" applyFill="1" applyBorder="1" applyAlignment="1">
      <alignment horizontal="right"/>
    </xf>
    <xf numFmtId="9" fontId="12" fillId="5" borderId="1" xfId="2" applyFont="1" applyFill="1" applyBorder="1" applyAlignment="1">
      <alignment horizontal="right"/>
    </xf>
    <xf numFmtId="9" fontId="11" fillId="5" borderId="19" xfId="5" applyFont="1" applyFill="1" applyBorder="1" applyAlignment="1">
      <alignment horizontal="right" vertical="center"/>
    </xf>
    <xf numFmtId="9" fontId="11" fillId="5" borderId="21" xfId="3" applyNumberFormat="1" applyFont="1" applyFill="1" applyBorder="1" applyAlignment="1">
      <alignment horizontal="right" vertical="center"/>
    </xf>
    <xf numFmtId="9" fontId="11" fillId="5" borderId="19" xfId="5" applyFont="1" applyFill="1" applyBorder="1" applyAlignment="1">
      <alignment vertical="center"/>
    </xf>
    <xf numFmtId="9" fontId="11" fillId="5" borderId="21" xfId="3" applyNumberFormat="1" applyFont="1" applyFill="1" applyBorder="1" applyAlignment="1">
      <alignment vertical="center"/>
    </xf>
    <xf numFmtId="9" fontId="11" fillId="10" borderId="19" xfId="5" applyFont="1" applyFill="1" applyBorder="1" applyAlignment="1">
      <alignment vertical="center"/>
    </xf>
    <xf numFmtId="9" fontId="11" fillId="10" borderId="21" xfId="3" applyNumberFormat="1" applyFont="1" applyFill="1" applyBorder="1" applyAlignment="1">
      <alignment vertical="center"/>
    </xf>
    <xf numFmtId="9" fontId="11" fillId="5" borderId="16" xfId="5" applyFont="1" applyFill="1" applyBorder="1" applyAlignment="1">
      <alignment horizontal="center" vertical="center"/>
    </xf>
    <xf numFmtId="9" fontId="11" fillId="5" borderId="16" xfId="3" applyNumberFormat="1" applyFont="1" applyFill="1" applyBorder="1" applyAlignment="1">
      <alignment horizontal="center" vertical="center"/>
    </xf>
    <xf numFmtId="1" fontId="11" fillId="9" borderId="16" xfId="4" applyNumberFormat="1" applyFont="1" applyFill="1" applyBorder="1" applyAlignment="1">
      <alignment horizontal="right" vertical="center"/>
    </xf>
    <xf numFmtId="10" fontId="11" fillId="5" borderId="16" xfId="3" applyNumberFormat="1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/>
    </xf>
    <xf numFmtId="165" fontId="1" fillId="2" borderId="16" xfId="1" applyNumberFormat="1" applyFont="1" applyFill="1" applyBorder="1"/>
    <xf numFmtId="165" fontId="11" fillId="10" borderId="16" xfId="4" applyNumberFormat="1" applyFont="1" applyFill="1" applyBorder="1" applyAlignment="1">
      <alignment horizontal="right" vertical="center"/>
    </xf>
    <xf numFmtId="168" fontId="1" fillId="2" borderId="16" xfId="0" applyNumberFormat="1" applyFont="1" applyFill="1" applyBorder="1"/>
    <xf numFmtId="165" fontId="1" fillId="2" borderId="16" xfId="0" applyNumberFormat="1" applyFont="1" applyFill="1" applyBorder="1"/>
    <xf numFmtId="3" fontId="13" fillId="8" borderId="16" xfId="0" applyNumberFormat="1" applyFont="1" applyFill="1" applyBorder="1"/>
    <xf numFmtId="3" fontId="11" fillId="8" borderId="16" xfId="0" applyNumberFormat="1" applyFont="1" applyFill="1" applyBorder="1"/>
    <xf numFmtId="3" fontId="11" fillId="8" borderId="16" xfId="0" applyNumberFormat="1" applyFont="1" applyFill="1" applyBorder="1" applyAlignment="1">
      <alignment horizontal="right" vertical="center"/>
    </xf>
    <xf numFmtId="3" fontId="11" fillId="8" borderId="16" xfId="0" applyNumberFormat="1" applyFont="1" applyFill="1" applyBorder="1" applyAlignment="1">
      <alignment horizontal="right"/>
    </xf>
    <xf numFmtId="165" fontId="11" fillId="10" borderId="16" xfId="4" applyNumberFormat="1" applyFont="1" applyFill="1" applyBorder="1" applyAlignment="1">
      <alignment horizontal="center" vertical="center"/>
    </xf>
    <xf numFmtId="165" fontId="11" fillId="6" borderId="38" xfId="4" applyNumberFormat="1" applyFont="1" applyFill="1" applyBorder="1" applyAlignment="1">
      <alignment horizontal="right" vertical="center"/>
    </xf>
    <xf numFmtId="3" fontId="11" fillId="10" borderId="16" xfId="0" applyNumberFormat="1" applyFont="1" applyFill="1" applyBorder="1"/>
    <xf numFmtId="0" fontId="14" fillId="12" borderId="11" xfId="0" applyFont="1" applyFill="1" applyBorder="1" applyAlignment="1">
      <alignment horizontal="right"/>
    </xf>
    <xf numFmtId="0" fontId="14" fillId="12" borderId="7" xfId="0" applyFont="1" applyFill="1" applyBorder="1" applyAlignment="1">
      <alignment horizontal="center"/>
    </xf>
    <xf numFmtId="1" fontId="14" fillId="12" borderId="9" xfId="0" applyNumberFormat="1" applyFont="1" applyFill="1" applyBorder="1" applyAlignment="1">
      <alignment horizontal="center"/>
    </xf>
    <xf numFmtId="0" fontId="13" fillId="5" borderId="16" xfId="0" applyFont="1" applyFill="1" applyBorder="1" applyAlignment="1">
      <alignment horizontal="center"/>
    </xf>
    <xf numFmtId="0" fontId="13" fillId="5" borderId="26" xfId="0" applyFont="1" applyFill="1" applyBorder="1" applyAlignment="1">
      <alignment horizontal="center"/>
    </xf>
    <xf numFmtId="0" fontId="13" fillId="11" borderId="16" xfId="0" applyFont="1" applyFill="1" applyBorder="1" applyAlignment="1">
      <alignment horizontal="center" vertical="center" wrapText="1"/>
    </xf>
    <xf numFmtId="0" fontId="13" fillId="11" borderId="33" xfId="0" applyFont="1" applyFill="1" applyBorder="1" applyAlignment="1">
      <alignment horizontal="center" vertical="center" wrapText="1"/>
    </xf>
    <xf numFmtId="0" fontId="13" fillId="5" borderId="16" xfId="0" applyFont="1" applyFill="1" applyBorder="1" applyAlignment="1">
      <alignment horizontal="center" vertical="center"/>
    </xf>
    <xf numFmtId="0" fontId="13" fillId="5" borderId="29" xfId="0" applyFont="1" applyFill="1" applyBorder="1" applyAlignment="1">
      <alignment horizontal="center" vertical="center"/>
    </xf>
    <xf numFmtId="2" fontId="13" fillId="5" borderId="16" xfId="0" applyNumberFormat="1" applyFont="1" applyFill="1" applyBorder="1" applyAlignment="1">
      <alignment horizontal="center" vertical="center"/>
    </xf>
    <xf numFmtId="2" fontId="13" fillId="5" borderId="29" xfId="0" applyNumberFormat="1" applyFont="1" applyFill="1" applyBorder="1" applyAlignment="1">
      <alignment horizontal="center" vertical="center"/>
    </xf>
    <xf numFmtId="2" fontId="15" fillId="5" borderId="29" xfId="0" applyNumberFormat="1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/>
    </xf>
    <xf numFmtId="0" fontId="10" fillId="17" borderId="1" xfId="0" applyFont="1" applyFill="1" applyBorder="1" applyAlignment="1">
      <alignment horizontal="right" vertical="center"/>
    </xf>
    <xf numFmtId="165" fontId="5" fillId="17" borderId="1" xfId="0" applyNumberFormat="1" applyFont="1" applyFill="1" applyBorder="1"/>
    <xf numFmtId="164" fontId="1" fillId="0" borderId="1" xfId="1" applyFont="1" applyFill="1" applyBorder="1"/>
    <xf numFmtId="165" fontId="5" fillId="17" borderId="1" xfId="0" applyNumberFormat="1" applyFont="1" applyFill="1" applyBorder="1" applyAlignment="1">
      <alignment horizontal="center"/>
    </xf>
    <xf numFmtId="165" fontId="1" fillId="17" borderId="1" xfId="0" applyNumberFormat="1" applyFont="1" applyFill="1" applyBorder="1"/>
    <xf numFmtId="0" fontId="1" fillId="7" borderId="0" xfId="0" applyFont="1" applyFill="1"/>
    <xf numFmtId="165" fontId="9" fillId="7" borderId="0" xfId="1" applyNumberFormat="1" applyFont="1" applyFill="1"/>
    <xf numFmtId="165" fontId="1" fillId="7" borderId="0" xfId="0" applyNumberFormat="1" applyFont="1" applyFill="1"/>
    <xf numFmtId="165" fontId="1" fillId="7" borderId="0" xfId="1" applyNumberFormat="1" applyFont="1" applyFill="1"/>
    <xf numFmtId="2" fontId="10" fillId="0" borderId="1" xfId="0" applyNumberFormat="1" applyFont="1" applyBorder="1" applyAlignment="1">
      <alignment horizontal="right" vertical="center"/>
    </xf>
    <xf numFmtId="2" fontId="1" fillId="0" borderId="1" xfId="1" applyNumberFormat="1" applyFont="1" applyBorder="1"/>
    <xf numFmtId="2" fontId="1" fillId="0" borderId="1" xfId="0" applyNumberFormat="1" applyFont="1" applyBorder="1" applyAlignment="1">
      <alignment horizontal="right" vertical="center"/>
    </xf>
    <xf numFmtId="2" fontId="1" fillId="0" borderId="11" xfId="1" applyNumberFormat="1" applyFont="1" applyBorder="1"/>
    <xf numFmtId="1" fontId="21" fillId="9" borderId="26" xfId="4" applyNumberFormat="1" applyFont="1" applyFill="1" applyBorder="1" applyAlignment="1">
      <alignment horizontal="right" vertical="center"/>
    </xf>
    <xf numFmtId="3" fontId="5" fillId="0" borderId="1" xfId="0" applyNumberFormat="1" applyFont="1" applyBorder="1" applyAlignment="1">
      <alignment horizontal="right"/>
    </xf>
    <xf numFmtId="10" fontId="5" fillId="0" borderId="1" xfId="0" applyNumberFormat="1" applyFont="1" applyBorder="1" applyAlignment="1">
      <alignment horizontal="center" vertical="center"/>
    </xf>
    <xf numFmtId="10" fontId="11" fillId="5" borderId="14" xfId="3" applyNumberFormat="1" applyFont="1" applyFill="1" applyBorder="1" applyAlignment="1">
      <alignment horizontal="center" vertical="center"/>
    </xf>
    <xf numFmtId="165" fontId="11" fillId="10" borderId="14" xfId="4" applyNumberFormat="1" applyFont="1" applyFill="1" applyBorder="1" applyAlignment="1">
      <alignment horizontal="right" vertical="center"/>
    </xf>
    <xf numFmtId="165" fontId="1" fillId="2" borderId="8" xfId="1" applyNumberFormat="1" applyFont="1" applyFill="1" applyBorder="1"/>
    <xf numFmtId="165" fontId="11" fillId="9" borderId="26" xfId="1" applyNumberFormat="1" applyFont="1" applyFill="1" applyBorder="1" applyAlignment="1">
      <alignment horizontal="right" vertical="center"/>
    </xf>
    <xf numFmtId="165" fontId="11" fillId="8" borderId="0" xfId="1" applyNumberFormat="1" applyFont="1" applyFill="1" applyBorder="1"/>
    <xf numFmtId="3" fontId="1" fillId="0" borderId="0" xfId="0" applyNumberFormat="1" applyFont="1"/>
    <xf numFmtId="165" fontId="11" fillId="6" borderId="39" xfId="4" applyNumberFormat="1" applyFont="1" applyFill="1" applyBorder="1" applyAlignment="1">
      <alignment horizontal="right" vertical="center"/>
    </xf>
    <xf numFmtId="165" fontId="11" fillId="10" borderId="31" xfId="1" applyNumberFormat="1" applyFont="1" applyFill="1" applyBorder="1" applyAlignment="1"/>
    <xf numFmtId="165" fontId="11" fillId="8" borderId="1" xfId="1" applyNumberFormat="1" applyFont="1" applyFill="1" applyBorder="1"/>
    <xf numFmtId="165" fontId="11" fillId="8" borderId="1" xfId="1" applyNumberFormat="1" applyFont="1" applyFill="1" applyBorder="1" applyAlignment="1">
      <alignment horizontal="right" vertical="center"/>
    </xf>
    <xf numFmtId="165" fontId="11" fillId="8" borderId="1" xfId="1" applyNumberFormat="1" applyFont="1" applyFill="1" applyBorder="1" applyAlignment="1">
      <alignment horizontal="right"/>
    </xf>
    <xf numFmtId="165" fontId="11" fillId="10" borderId="1" xfId="1" applyNumberFormat="1" applyFont="1" applyFill="1" applyBorder="1" applyAlignment="1">
      <alignment horizontal="center" vertical="center"/>
    </xf>
    <xf numFmtId="165" fontId="11" fillId="10" borderId="1" xfId="1" applyNumberFormat="1" applyFont="1" applyFill="1" applyBorder="1"/>
    <xf numFmtId="165" fontId="11" fillId="10" borderId="1" xfId="1" applyNumberFormat="1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0" fontId="1" fillId="18" borderId="0" xfId="0" applyFont="1" applyFill="1"/>
    <xf numFmtId="165" fontId="1" fillId="18" borderId="0" xfId="0" applyNumberFormat="1" applyFont="1" applyFill="1"/>
    <xf numFmtId="0" fontId="5" fillId="18" borderId="0" xfId="0" applyFont="1" applyFill="1"/>
    <xf numFmtId="165" fontId="5" fillId="18" borderId="0" xfId="1" applyNumberFormat="1" applyFont="1" applyFill="1"/>
    <xf numFmtId="0" fontId="0" fillId="0" borderId="1" xfId="0" applyBorder="1" applyAlignment="1">
      <alignment horizontal="center"/>
    </xf>
    <xf numFmtId="165" fontId="11" fillId="10" borderId="16" xfId="1" applyNumberFormat="1" applyFont="1" applyFill="1" applyBorder="1" applyAlignment="1">
      <alignment horizontal="right" vertical="center"/>
    </xf>
    <xf numFmtId="165" fontId="1" fillId="5" borderId="1" xfId="1" applyNumberFormat="1" applyFont="1" applyFill="1" applyBorder="1" applyAlignment="1">
      <alignment horizontal="center"/>
    </xf>
    <xf numFmtId="165" fontId="21" fillId="9" borderId="26" xfId="1" applyNumberFormat="1" applyFont="1" applyFill="1" applyBorder="1" applyAlignment="1">
      <alignment horizontal="right" vertical="center"/>
    </xf>
    <xf numFmtId="165" fontId="5" fillId="0" borderId="1" xfId="1" applyNumberFormat="1" applyFont="1" applyBorder="1" applyAlignment="1">
      <alignment horizontal="right"/>
    </xf>
    <xf numFmtId="165" fontId="6" fillId="0" borderId="1" xfId="1" applyNumberFormat="1" applyFont="1" applyBorder="1" applyAlignment="1">
      <alignment horizontal="center"/>
    </xf>
    <xf numFmtId="165" fontId="6" fillId="0" borderId="1" xfId="1" applyNumberFormat="1" applyFont="1" applyFill="1" applyBorder="1" applyAlignment="1">
      <alignment horizontal="center"/>
    </xf>
    <xf numFmtId="164" fontId="13" fillId="5" borderId="17" xfId="1" applyFont="1" applyFill="1" applyBorder="1" applyAlignment="1">
      <alignment horizontal="center"/>
    </xf>
    <xf numFmtId="164" fontId="13" fillId="5" borderId="18" xfId="1" applyFont="1" applyFill="1" applyBorder="1" applyAlignment="1">
      <alignment horizontal="center"/>
    </xf>
    <xf numFmtId="164" fontId="13" fillId="5" borderId="33" xfId="1" applyFont="1" applyFill="1" applyBorder="1" applyAlignment="1">
      <alignment horizontal="center"/>
    </xf>
    <xf numFmtId="164" fontId="13" fillId="11" borderId="18" xfId="1" applyFont="1" applyFill="1" applyBorder="1" applyAlignment="1">
      <alignment horizontal="center" vertical="center" wrapText="1"/>
    </xf>
    <xf numFmtId="10" fontId="1" fillId="0" borderId="0" xfId="0" applyNumberFormat="1" applyFont="1" applyAlignment="1">
      <alignment horizontal="center"/>
    </xf>
    <xf numFmtId="165" fontId="1" fillId="0" borderId="0" xfId="1" applyNumberFormat="1" applyFont="1" applyAlignment="1">
      <alignment horizontal="center"/>
    </xf>
    <xf numFmtId="9" fontId="1" fillId="0" borderId="0" xfId="2" applyFont="1"/>
    <xf numFmtId="0" fontId="23" fillId="0" borderId="0" xfId="0" applyFont="1"/>
    <xf numFmtId="165" fontId="21" fillId="6" borderId="39" xfId="4" applyNumberFormat="1" applyFont="1" applyFill="1" applyBorder="1" applyAlignment="1">
      <alignment horizontal="right" vertical="center"/>
    </xf>
    <xf numFmtId="9" fontId="11" fillId="8" borderId="1" xfId="2" applyFont="1" applyFill="1" applyBorder="1" applyAlignment="1">
      <alignment horizontal="center"/>
    </xf>
    <xf numFmtId="165" fontId="11" fillId="4" borderId="1" xfId="1" applyNumberFormat="1" applyFont="1" applyFill="1" applyBorder="1" applyAlignment="1">
      <alignment horizontal="right" vertical="center"/>
    </xf>
    <xf numFmtId="168" fontId="1" fillId="2" borderId="9" xfId="0" applyNumberFormat="1" applyFont="1" applyFill="1" applyBorder="1"/>
    <xf numFmtId="3" fontId="5" fillId="0" borderId="11" xfId="0" applyNumberFormat="1" applyFont="1" applyBorder="1" applyAlignment="1">
      <alignment horizontal="right"/>
    </xf>
    <xf numFmtId="10" fontId="11" fillId="8" borderId="16" xfId="0" applyNumberFormat="1" applyFont="1" applyFill="1" applyBorder="1" applyAlignment="1">
      <alignment horizontal="center"/>
    </xf>
    <xf numFmtId="165" fontId="11" fillId="9" borderId="17" xfId="1" applyNumberFormat="1" applyFont="1" applyFill="1" applyBorder="1" applyAlignment="1">
      <alignment horizontal="right" vertical="center"/>
    </xf>
    <xf numFmtId="10" fontId="11" fillId="8" borderId="40" xfId="0" applyNumberFormat="1" applyFont="1" applyFill="1" applyBorder="1" applyAlignment="1">
      <alignment horizontal="center"/>
    </xf>
    <xf numFmtId="165" fontId="1" fillId="5" borderId="10" xfId="1" applyNumberFormat="1" applyFont="1" applyFill="1" applyBorder="1" applyAlignment="1">
      <alignment horizontal="center"/>
    </xf>
    <xf numFmtId="10" fontId="11" fillId="5" borderId="41" xfId="5" applyNumberFormat="1" applyFont="1" applyFill="1" applyBorder="1" applyAlignment="1">
      <alignment horizontal="center" vertical="center"/>
    </xf>
    <xf numFmtId="165" fontId="1" fillId="5" borderId="11" xfId="1" applyNumberFormat="1" applyFont="1" applyFill="1" applyBorder="1" applyAlignment="1">
      <alignment horizontal="center"/>
    </xf>
    <xf numFmtId="3" fontId="1" fillId="10" borderId="16" xfId="0" applyNumberFormat="1" applyFont="1" applyFill="1" applyBorder="1"/>
    <xf numFmtId="165" fontId="14" fillId="10" borderId="16" xfId="1" applyNumberFormat="1" applyFont="1" applyFill="1" applyBorder="1" applyAlignment="1">
      <alignment horizontal="right" vertical="center"/>
    </xf>
    <xf numFmtId="10" fontId="11" fillId="5" borderId="33" xfId="5" applyNumberFormat="1" applyFont="1" applyFill="1" applyBorder="1" applyAlignment="1">
      <alignment horizontal="center" vertical="center"/>
    </xf>
    <xf numFmtId="10" fontId="11" fillId="5" borderId="1" xfId="5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166" fontId="1" fillId="2" borderId="9" xfId="3" applyNumberFormat="1" applyFont="1" applyFill="1" applyBorder="1" applyAlignment="1">
      <alignment horizontal="center" vertical="center"/>
    </xf>
    <xf numFmtId="1" fontId="1" fillId="2" borderId="9" xfId="3" applyNumberFormat="1" applyFont="1" applyFill="1" applyBorder="1" applyAlignment="1">
      <alignment horizontal="center" vertical="center"/>
    </xf>
    <xf numFmtId="0" fontId="5" fillId="0" borderId="9" xfId="0" applyFont="1" applyBorder="1"/>
    <xf numFmtId="0" fontId="1" fillId="0" borderId="42" xfId="0" applyFont="1" applyBorder="1" applyAlignment="1">
      <alignment horizontal="center"/>
    </xf>
    <xf numFmtId="0" fontId="1" fillId="0" borderId="43" xfId="0" applyFont="1" applyBorder="1"/>
    <xf numFmtId="0" fontId="1" fillId="0" borderId="46" xfId="0" applyFont="1" applyBorder="1" applyAlignment="1">
      <alignment horizontal="center" vertical="center"/>
    </xf>
    <xf numFmtId="165" fontId="1" fillId="0" borderId="47" xfId="1" applyNumberFormat="1" applyFont="1" applyFill="1" applyBorder="1" applyAlignment="1">
      <alignment horizontal="center" vertical="center"/>
    </xf>
    <xf numFmtId="0" fontId="9" fillId="0" borderId="45" xfId="0" applyFont="1" applyBorder="1" applyAlignment="1">
      <alignment horizontal="center"/>
    </xf>
    <xf numFmtId="9" fontId="11" fillId="8" borderId="46" xfId="0" applyNumberFormat="1" applyFont="1" applyFill="1" applyBorder="1" applyAlignment="1">
      <alignment horizontal="center"/>
    </xf>
    <xf numFmtId="165" fontId="1" fillId="2" borderId="45" xfId="1" applyNumberFormat="1" applyFont="1" applyFill="1" applyBorder="1"/>
    <xf numFmtId="9" fontId="11" fillId="5" borderId="48" xfId="5" applyFont="1" applyFill="1" applyBorder="1" applyAlignment="1">
      <alignment horizontal="center" vertical="center"/>
    </xf>
    <xf numFmtId="9" fontId="5" fillId="0" borderId="46" xfId="0" applyNumberFormat="1" applyFont="1" applyBorder="1" applyAlignment="1">
      <alignment horizontal="center"/>
    </xf>
    <xf numFmtId="3" fontId="5" fillId="0" borderId="45" xfId="0" applyNumberFormat="1" applyFont="1" applyBorder="1" applyAlignment="1">
      <alignment horizontal="right"/>
    </xf>
    <xf numFmtId="3" fontId="1" fillId="0" borderId="43" xfId="0" applyNumberFormat="1" applyFont="1" applyBorder="1"/>
    <xf numFmtId="165" fontId="9" fillId="0" borderId="0" xfId="1" applyNumberFormat="1" applyFont="1" applyBorder="1"/>
    <xf numFmtId="164" fontId="9" fillId="0" borderId="0" xfId="1" applyFont="1" applyBorder="1"/>
    <xf numFmtId="165" fontId="9" fillId="0" borderId="43" xfId="1" applyNumberFormat="1" applyFont="1" applyBorder="1"/>
    <xf numFmtId="165" fontId="1" fillId="0" borderId="43" xfId="0" applyNumberFormat="1" applyFont="1" applyBorder="1"/>
    <xf numFmtId="165" fontId="1" fillId="0" borderId="43" xfId="1" applyNumberFormat="1" applyFont="1" applyBorder="1"/>
    <xf numFmtId="165" fontId="1" fillId="18" borderId="43" xfId="0" applyNumberFormat="1" applyFont="1" applyFill="1" applyBorder="1"/>
    <xf numFmtId="165" fontId="5" fillId="18" borderId="43" xfId="1" applyNumberFormat="1" applyFont="1" applyFill="1" applyBorder="1"/>
    <xf numFmtId="0" fontId="1" fillId="7" borderId="42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7" borderId="43" xfId="0" applyFont="1" applyFill="1" applyBorder="1"/>
    <xf numFmtId="0" fontId="1" fillId="7" borderId="0" xfId="0" applyFont="1" applyFill="1" applyAlignment="1">
      <alignment horizontal="right"/>
    </xf>
    <xf numFmtId="174" fontId="11" fillId="9" borderId="26" xfId="1" applyNumberFormat="1" applyFont="1" applyFill="1" applyBorder="1" applyAlignment="1">
      <alignment horizontal="right" vertical="center"/>
    </xf>
    <xf numFmtId="0" fontId="1" fillId="3" borderId="11" xfId="0" applyFont="1" applyFill="1" applyBorder="1" applyAlignment="1">
      <alignment horizontal="right" vertical="center"/>
    </xf>
    <xf numFmtId="164" fontId="1" fillId="0" borderId="0" xfId="1" applyFont="1" applyFill="1"/>
    <xf numFmtId="0" fontId="1" fillId="0" borderId="3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165" fontId="5" fillId="0" borderId="0" xfId="1" applyNumberFormat="1" applyFont="1" applyBorder="1" applyAlignment="1">
      <alignment horizontal="right"/>
    </xf>
    <xf numFmtId="0" fontId="5" fillId="0" borderId="0" xfId="0" applyFont="1"/>
    <xf numFmtId="165" fontId="5" fillId="0" borderId="0" xfId="0" applyNumberFormat="1" applyFont="1"/>
    <xf numFmtId="0" fontId="1" fillId="0" borderId="1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2" xfId="0" applyBorder="1" applyAlignment="1">
      <alignment horizontal="center"/>
    </xf>
    <xf numFmtId="15" fontId="5" fillId="0" borderId="46" xfId="0" applyNumberFormat="1" applyFont="1" applyBorder="1" applyAlignment="1">
      <alignment vertical="center"/>
    </xf>
    <xf numFmtId="164" fontId="5" fillId="0" borderId="1" xfId="1" applyFont="1" applyBorder="1" applyAlignment="1">
      <alignment vertical="center"/>
    </xf>
    <xf numFmtId="164" fontId="0" fillId="0" borderId="1" xfId="1" applyFont="1" applyBorder="1"/>
    <xf numFmtId="164" fontId="0" fillId="0" borderId="45" xfId="1" applyFont="1" applyBorder="1"/>
    <xf numFmtId="0" fontId="5" fillId="0" borderId="63" xfId="0" applyFont="1" applyBorder="1"/>
    <xf numFmtId="0" fontId="0" fillId="0" borderId="13" xfId="0" applyBorder="1"/>
    <xf numFmtId="164" fontId="0" fillId="0" borderId="13" xfId="1" applyFont="1" applyBorder="1"/>
    <xf numFmtId="0" fontId="29" fillId="0" borderId="1" xfId="0" applyFont="1" applyBorder="1" applyAlignment="1">
      <alignment horizontal="center" vertical="center" wrapText="1"/>
    </xf>
    <xf numFmtId="0" fontId="29" fillId="0" borderId="45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wrapText="1"/>
    </xf>
    <xf numFmtId="165" fontId="5" fillId="0" borderId="64" xfId="0" applyNumberFormat="1" applyFont="1" applyBorder="1"/>
    <xf numFmtId="165" fontId="5" fillId="0" borderId="65" xfId="0" applyNumberFormat="1" applyFont="1" applyBorder="1"/>
    <xf numFmtId="164" fontId="1" fillId="0" borderId="11" xfId="1" applyFont="1" applyBorder="1" applyAlignment="1">
      <alignment horizontal="center" vertical="center" wrapText="1"/>
    </xf>
    <xf numFmtId="19" fontId="0" fillId="0" borderId="0" xfId="0" applyNumberFormat="1"/>
    <xf numFmtId="14" fontId="0" fillId="0" borderId="0" xfId="0" applyNumberFormat="1"/>
    <xf numFmtId="9" fontId="0" fillId="0" borderId="0" xfId="2" applyFont="1"/>
    <xf numFmtId="0" fontId="28" fillId="0" borderId="0" xfId="0" applyFont="1"/>
    <xf numFmtId="19" fontId="28" fillId="0" borderId="0" xfId="0" applyNumberFormat="1" applyFont="1"/>
    <xf numFmtId="43" fontId="28" fillId="0" borderId="0" xfId="0" applyNumberFormat="1" applyFont="1"/>
    <xf numFmtId="0" fontId="30" fillId="0" borderId="45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/>
    </xf>
    <xf numFmtId="164" fontId="5" fillId="0" borderId="64" xfId="0" applyNumberFormat="1" applyFont="1" applyBorder="1"/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65" fontId="1" fillId="0" borderId="8" xfId="1" applyNumberFormat="1" applyFont="1" applyFill="1" applyBorder="1" applyAlignment="1">
      <alignment horizontal="center" vertical="center"/>
    </xf>
    <xf numFmtId="165" fontId="1" fillId="0" borderId="14" xfId="1" applyNumberFormat="1" applyFont="1" applyFill="1" applyBorder="1" applyAlignment="1">
      <alignment horizontal="center" vertical="center"/>
    </xf>
    <xf numFmtId="165" fontId="1" fillId="0" borderId="9" xfId="1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4" borderId="8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65" fontId="1" fillId="7" borderId="12" xfId="0" applyNumberFormat="1" applyFont="1" applyFill="1" applyBorder="1" applyAlignment="1">
      <alignment horizontal="right" vertical="center"/>
    </xf>
    <xf numFmtId="0" fontId="1" fillId="0" borderId="44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/>
    </xf>
    <xf numFmtId="0" fontId="1" fillId="0" borderId="45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5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56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62" xfId="0" applyBorder="1" applyAlignment="1">
      <alignment horizontal="center"/>
    </xf>
    <xf numFmtId="0" fontId="1" fillId="0" borderId="57" xfId="0" applyFont="1" applyBorder="1" applyAlignment="1">
      <alignment horizontal="center" vertical="center" wrapText="1"/>
    </xf>
    <xf numFmtId="0" fontId="1" fillId="0" borderId="61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 wrapText="1"/>
    </xf>
    <xf numFmtId="0" fontId="26" fillId="0" borderId="0" xfId="0" applyFont="1" applyAlignment="1">
      <alignment horizontal="left" vertical="center" wrapText="1"/>
    </xf>
    <xf numFmtId="175" fontId="1" fillId="0" borderId="52" xfId="0" applyNumberFormat="1" applyFont="1" applyBorder="1" applyAlignment="1">
      <alignment horizontal="center"/>
    </xf>
    <xf numFmtId="175" fontId="1" fillId="0" borderId="12" xfId="0" applyNumberFormat="1" applyFont="1" applyBorder="1" applyAlignment="1">
      <alignment horizontal="center"/>
    </xf>
    <xf numFmtId="0" fontId="25" fillId="0" borderId="49" xfId="0" applyFont="1" applyBorder="1" applyAlignment="1">
      <alignment horizontal="center" vertical="center"/>
    </xf>
    <xf numFmtId="0" fontId="25" fillId="0" borderId="50" xfId="0" applyFont="1" applyBorder="1" applyAlignment="1">
      <alignment horizontal="center" vertical="center"/>
    </xf>
    <xf numFmtId="0" fontId="25" fillId="0" borderId="53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15" fontId="5" fillId="0" borderId="44" xfId="0" applyNumberFormat="1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167" fontId="1" fillId="0" borderId="44" xfId="0" applyNumberFormat="1" applyFont="1" applyBorder="1" applyAlignment="1">
      <alignment horizontal="center" vertical="center"/>
    </xf>
    <xf numFmtId="167" fontId="1" fillId="0" borderId="9" xfId="0" applyNumberFormat="1" applyFont="1" applyBorder="1" applyAlignment="1">
      <alignment horizontal="center" vertical="center"/>
    </xf>
    <xf numFmtId="175" fontId="29" fillId="0" borderId="52" xfId="0" applyNumberFormat="1" applyFont="1" applyBorder="1" applyAlignment="1">
      <alignment horizontal="center"/>
    </xf>
    <xf numFmtId="175" fontId="29" fillId="0" borderId="12" xfId="0" applyNumberFormat="1" applyFont="1" applyBorder="1" applyAlignment="1">
      <alignment horizontal="center"/>
    </xf>
    <xf numFmtId="0" fontId="5" fillId="0" borderId="67" xfId="0" applyFont="1" applyBorder="1" applyAlignment="1">
      <alignment horizontal="center"/>
    </xf>
    <xf numFmtId="0" fontId="5" fillId="0" borderId="68" xfId="0" applyFont="1" applyBorder="1" applyAlignment="1">
      <alignment horizontal="center"/>
    </xf>
    <xf numFmtId="175" fontId="1" fillId="0" borderId="44" xfId="0" applyNumberFormat="1" applyFont="1" applyBorder="1" applyAlignment="1">
      <alignment horizontal="center"/>
    </xf>
    <xf numFmtId="175" fontId="1" fillId="0" borderId="14" xfId="0" applyNumberFormat="1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</cellXfs>
  <cellStyles count="11">
    <cellStyle name="Comma" xfId="1" builtinId="3"/>
    <cellStyle name="Comma 2" xfId="4" xr:uid="{00000000-0005-0000-0000-000001000000}"/>
    <cellStyle name="Comma 2 2" xfId="6" xr:uid="{00000000-0005-0000-0000-000002000000}"/>
    <cellStyle name="Comma 2 3" xfId="8" xr:uid="{00000000-0005-0000-0000-000003000000}"/>
    <cellStyle name="Comma 3" xfId="9" xr:uid="{00000000-0005-0000-0000-000004000000}"/>
    <cellStyle name="Normal" xfId="0" builtinId="0"/>
    <cellStyle name="Normal 2" xfId="3" xr:uid="{00000000-0005-0000-0000-000006000000}"/>
    <cellStyle name="Normal 3" xfId="10" xr:uid="{00000000-0005-0000-0000-000007000000}"/>
    <cellStyle name="Normal 4" xfId="7" xr:uid="{00000000-0005-0000-0000-000008000000}"/>
    <cellStyle name="Percent" xfId="2" builtinId="5"/>
    <cellStyle name="Percent 2" xfId="5" xr:uid="{00000000-0005-0000-0000-00000A000000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castro/AppData/Local/Microsoft/Windows/INetCache/Content.Outlook/SY2I0PFC/SBVCxDPO%20Utilities%20Monitoring_2022_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lifford%20Caminero/OneDrive/Desktop/BIOGAS/01%20OPERATION/03%20LOGBOOKS/02%20Pol%20Logbooks%202021/Pol%20Plant%20Monitoring_Dec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"/>
      <sheetName val="August"/>
      <sheetName val="Change Tracker"/>
      <sheetName val="Previous day"/>
      <sheetName val="September"/>
      <sheetName val="October"/>
      <sheetName val="Utilities Pol"/>
    </sheetNames>
    <sheetDataSet>
      <sheetData sheetId="0"/>
      <sheetData sheetId="1"/>
      <sheetData sheetId="2"/>
      <sheetData sheetId="3"/>
      <sheetData sheetId="4">
        <row r="36">
          <cell r="P36">
            <v>85800</v>
          </cell>
          <cell r="R36">
            <v>88400</v>
          </cell>
        </row>
      </sheetData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01-15"/>
      <sheetName val="16-31"/>
      <sheetName val="Daily Update"/>
    </sheetNames>
    <sheetDataSet>
      <sheetData sheetId="0"/>
      <sheetData sheetId="1"/>
      <sheetData sheetId="2">
        <row r="28">
          <cell r="K28">
            <v>0.55922580645161313</v>
          </cell>
          <cell r="L28">
            <v>1470</v>
          </cell>
          <cell r="O28">
            <v>281824</v>
          </cell>
          <cell r="R28">
            <v>36706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Q42"/>
  <sheetViews>
    <sheetView showGridLines="0" zoomScale="70" zoomScaleNormal="70" workbookViewId="0">
      <pane xSplit="3" ySplit="6" topLeftCell="D18" activePane="bottomRight" state="frozen"/>
      <selection pane="topRight" activeCell="B41" sqref="B41:E42"/>
      <selection pane="bottomLeft" activeCell="B41" sqref="B41:E42"/>
      <selection pane="bottomRight" activeCell="B41" sqref="B41:E42"/>
    </sheetView>
  </sheetViews>
  <sheetFormatPr defaultColWidth="9.109375" defaultRowHeight="13.8" x14ac:dyDescent="0.25"/>
  <cols>
    <col min="1" max="1" width="4.5546875" style="1" customWidth="1"/>
    <col min="2" max="2" width="22.5546875" style="2" customWidth="1"/>
    <col min="3" max="3" width="10.44140625" style="2" bestFit="1" customWidth="1"/>
    <col min="4" max="5" width="10.44140625" style="2" customWidth="1"/>
    <col min="6" max="6" width="10" style="2" customWidth="1"/>
    <col min="7" max="7" width="11" style="2" customWidth="1"/>
    <col min="8" max="8" width="11.44140625" style="2" customWidth="1"/>
    <col min="9" max="9" width="11.5546875" style="2" customWidth="1"/>
    <col min="10" max="10" width="11.109375" style="2" customWidth="1"/>
    <col min="11" max="11" width="12.44140625" style="1" customWidth="1"/>
    <col min="12" max="12" width="13" style="1" customWidth="1"/>
    <col min="13" max="13" width="10.88671875" style="1" bestFit="1" customWidth="1"/>
    <col min="14" max="14" width="10.88671875" style="1" customWidth="1"/>
    <col min="15" max="15" width="11.44140625" style="1" customWidth="1"/>
    <col min="16" max="16" width="11.5546875" style="1" customWidth="1"/>
    <col min="17" max="17" width="11.88671875" style="1" customWidth="1"/>
    <col min="18" max="18" width="11.44140625" style="3" customWidth="1"/>
    <col min="19" max="19" width="11.109375" style="3" customWidth="1"/>
    <col min="20" max="20" width="12.44140625" style="3" bestFit="1" customWidth="1"/>
    <col min="21" max="23" width="12.44140625" style="3" customWidth="1"/>
    <col min="24" max="24" width="11.5546875" style="3" customWidth="1"/>
    <col min="25" max="25" width="11.109375" style="3" customWidth="1"/>
    <col min="26" max="26" width="11" style="3" customWidth="1"/>
    <col min="27" max="27" width="11.44140625" style="3" customWidth="1"/>
    <col min="28" max="28" width="11.5546875" style="234" customWidth="1"/>
    <col min="29" max="29" width="11.5546875" style="1" customWidth="1"/>
    <col min="30" max="30" width="13" style="2" customWidth="1"/>
    <col min="31" max="32" width="11.5546875" style="1" customWidth="1"/>
    <col min="33" max="35" width="11.5546875" style="2" customWidth="1"/>
    <col min="36" max="36" width="12.44140625" style="1" customWidth="1"/>
    <col min="37" max="37" width="9.44140625" style="1" customWidth="1"/>
    <col min="38" max="38" width="12.44140625" style="1" customWidth="1"/>
    <col min="39" max="39" width="38" style="1" bestFit="1" customWidth="1"/>
    <col min="40" max="40" width="9.109375" style="1"/>
    <col min="41" max="41" width="10.88671875" style="1" bestFit="1" customWidth="1"/>
    <col min="42" max="42" width="12.88671875" style="1" bestFit="1" customWidth="1"/>
    <col min="43" max="16384" width="9.109375" style="1"/>
  </cols>
  <sheetData>
    <row r="2" spans="2:43" x14ac:dyDescent="0.25">
      <c r="B2" s="4" t="s">
        <v>0</v>
      </c>
    </row>
    <row r="3" spans="2:43" ht="29.25" customHeight="1" x14ac:dyDescent="0.25">
      <c r="B3" s="479" t="s">
        <v>1</v>
      </c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  <c r="AA3" s="481"/>
      <c r="AB3" s="490" t="s">
        <v>2</v>
      </c>
      <c r="AC3" s="491"/>
      <c r="AD3" s="492"/>
      <c r="AE3" s="485" t="s">
        <v>3</v>
      </c>
      <c r="AF3" s="486"/>
      <c r="AG3" s="465" t="s">
        <v>4</v>
      </c>
      <c r="AH3" s="473"/>
      <c r="AI3" s="473"/>
      <c r="AJ3" s="473"/>
      <c r="AK3" s="473"/>
      <c r="AL3" s="473"/>
      <c r="AM3" s="457" t="s">
        <v>5</v>
      </c>
    </row>
    <row r="4" spans="2:43" ht="16.5" customHeight="1" x14ac:dyDescent="0.25">
      <c r="B4" s="460" t="s">
        <v>6</v>
      </c>
      <c r="C4" s="460" t="s">
        <v>7</v>
      </c>
      <c r="D4" s="461" t="s">
        <v>8</v>
      </c>
      <c r="E4" s="462"/>
      <c r="F4" s="462"/>
      <c r="G4" s="463"/>
      <c r="H4" s="54" t="s">
        <v>9</v>
      </c>
      <c r="I4" s="464" t="s">
        <v>10</v>
      </c>
      <c r="J4" s="464"/>
      <c r="K4" s="464"/>
      <c r="L4" s="464"/>
      <c r="M4" s="464" t="s">
        <v>11</v>
      </c>
      <c r="N4" s="464"/>
      <c r="O4" s="464"/>
      <c r="P4" s="465" t="s">
        <v>12</v>
      </c>
      <c r="Q4" s="466"/>
      <c r="R4" s="469" t="s">
        <v>13</v>
      </c>
      <c r="S4" s="470"/>
      <c r="T4" s="471"/>
      <c r="U4" s="482" t="s">
        <v>14</v>
      </c>
      <c r="V4" s="483"/>
      <c r="W4" s="484"/>
      <c r="X4" s="461" t="s">
        <v>15</v>
      </c>
      <c r="Y4" s="463"/>
      <c r="Z4" s="461" t="s">
        <v>16</v>
      </c>
      <c r="AA4" s="463"/>
      <c r="AB4" s="487" t="s">
        <v>17</v>
      </c>
      <c r="AC4" s="488"/>
      <c r="AD4" s="489"/>
      <c r="AE4" s="477" t="s">
        <v>17</v>
      </c>
      <c r="AF4" s="478"/>
      <c r="AG4" s="467"/>
      <c r="AH4" s="474"/>
      <c r="AI4" s="474"/>
      <c r="AJ4" s="474"/>
      <c r="AK4" s="474"/>
      <c r="AL4" s="474"/>
      <c r="AM4" s="458"/>
    </row>
    <row r="5" spans="2:43" ht="52.5" customHeight="1" x14ac:dyDescent="0.25">
      <c r="B5" s="460"/>
      <c r="C5" s="460"/>
      <c r="D5" s="41" t="s">
        <v>18</v>
      </c>
      <c r="E5" s="41" t="s">
        <v>19</v>
      </c>
      <c r="F5" s="41" t="s">
        <v>20</v>
      </c>
      <c r="G5" s="41" t="s">
        <v>21</v>
      </c>
      <c r="H5" s="43" t="s">
        <v>22</v>
      </c>
      <c r="I5" s="472" t="s">
        <v>23</v>
      </c>
      <c r="J5" s="472"/>
      <c r="K5" s="472" t="s">
        <v>24</v>
      </c>
      <c r="L5" s="472"/>
      <c r="M5" s="460" t="s">
        <v>25</v>
      </c>
      <c r="N5" s="460"/>
      <c r="O5" s="43" t="s">
        <v>26</v>
      </c>
      <c r="P5" s="467"/>
      <c r="Q5" s="468"/>
      <c r="R5" s="82" t="s">
        <v>27</v>
      </c>
      <c r="S5" s="82" t="s">
        <v>24</v>
      </c>
      <c r="T5" s="82" t="s">
        <v>21</v>
      </c>
      <c r="U5" s="34" t="s">
        <v>27</v>
      </c>
      <c r="V5" s="34" t="s">
        <v>24</v>
      </c>
      <c r="W5" s="36" t="s">
        <v>21</v>
      </c>
      <c r="X5" s="82" t="s">
        <v>27</v>
      </c>
      <c r="Y5" s="82" t="s">
        <v>24</v>
      </c>
      <c r="Z5" s="82" t="s">
        <v>27</v>
      </c>
      <c r="AA5" s="82" t="s">
        <v>24</v>
      </c>
      <c r="AB5" s="472" t="s">
        <v>28</v>
      </c>
      <c r="AC5" s="472"/>
      <c r="AD5" s="45" t="s">
        <v>29</v>
      </c>
      <c r="AE5" s="472" t="s">
        <v>28</v>
      </c>
      <c r="AF5" s="472"/>
      <c r="AG5" s="475" t="s">
        <v>30</v>
      </c>
      <c r="AH5" s="476"/>
      <c r="AI5" s="475" t="s">
        <v>31</v>
      </c>
      <c r="AJ5" s="476"/>
      <c r="AK5" s="477" t="s">
        <v>32</v>
      </c>
      <c r="AL5" s="478"/>
      <c r="AM5" s="458"/>
    </row>
    <row r="6" spans="2:43" ht="14.4" x14ac:dyDescent="0.3">
      <c r="B6" s="460"/>
      <c r="C6" s="460"/>
      <c r="D6" s="83">
        <v>8350</v>
      </c>
      <c r="E6" s="83">
        <v>8350</v>
      </c>
      <c r="F6" s="83">
        <v>8350</v>
      </c>
      <c r="G6" s="83">
        <f>D6+F6</f>
        <v>16700</v>
      </c>
      <c r="H6" s="56" t="s">
        <v>33</v>
      </c>
      <c r="I6" s="17" t="s">
        <v>34</v>
      </c>
      <c r="J6" s="17" t="s">
        <v>35</v>
      </c>
      <c r="K6" s="17" t="s">
        <v>34</v>
      </c>
      <c r="L6" s="17" t="s">
        <v>35</v>
      </c>
      <c r="M6" s="40" t="s">
        <v>36</v>
      </c>
      <c r="N6" s="40" t="s">
        <v>37</v>
      </c>
      <c r="O6" s="41" t="s">
        <v>38</v>
      </c>
      <c r="P6" s="17" t="s">
        <v>34</v>
      </c>
      <c r="Q6" s="17" t="s">
        <v>35</v>
      </c>
      <c r="R6" s="82" t="s">
        <v>39</v>
      </c>
      <c r="S6" s="82" t="s">
        <v>39</v>
      </c>
      <c r="T6" s="82" t="s">
        <v>39</v>
      </c>
      <c r="U6" s="82"/>
      <c r="V6" s="82"/>
      <c r="W6" s="82"/>
      <c r="X6" s="41" t="s">
        <v>40</v>
      </c>
      <c r="Y6" s="41" t="s">
        <v>40</v>
      </c>
      <c r="Z6" s="41" t="s">
        <v>40</v>
      </c>
      <c r="AA6" s="41" t="s">
        <v>40</v>
      </c>
      <c r="AB6" s="235" t="s">
        <v>41</v>
      </c>
      <c r="AC6" s="78" t="s">
        <v>42</v>
      </c>
      <c r="AD6" s="9" t="s">
        <v>43</v>
      </c>
      <c r="AE6" s="17" t="s">
        <v>41</v>
      </c>
      <c r="AF6" s="78" t="s">
        <v>42</v>
      </c>
      <c r="AG6" s="9" t="s">
        <v>34</v>
      </c>
      <c r="AH6" s="9" t="s">
        <v>44</v>
      </c>
      <c r="AI6" s="9" t="s">
        <v>34</v>
      </c>
      <c r="AJ6" s="9" t="s">
        <v>44</v>
      </c>
      <c r="AK6" s="9" t="s">
        <v>34</v>
      </c>
      <c r="AL6" s="9" t="s">
        <v>44</v>
      </c>
      <c r="AM6" s="459"/>
    </row>
    <row r="7" spans="2:43" x14ac:dyDescent="0.25">
      <c r="B7" s="8">
        <v>44682</v>
      </c>
      <c r="C7" s="42" t="str">
        <f>TEXT(B7,"ddd")</f>
        <v>Sun</v>
      </c>
      <c r="D7" s="93"/>
      <c r="E7" s="93"/>
      <c r="F7" s="93"/>
      <c r="G7" s="19">
        <f t="shared" ref="G7:G37" si="0">SUMPRODUCT($D$6:$F$6,D7:F7)</f>
        <v>0</v>
      </c>
      <c r="H7" s="94"/>
      <c r="I7" s="95"/>
      <c r="J7" s="22">
        <f>I7-0</f>
        <v>0</v>
      </c>
      <c r="K7" s="97"/>
      <c r="L7" s="22">
        <f>K7-0</f>
        <v>0</v>
      </c>
      <c r="M7" s="23"/>
      <c r="N7" s="23"/>
      <c r="O7" s="22"/>
      <c r="P7" s="22"/>
      <c r="Q7" s="21">
        <f>P7-0</f>
        <v>0</v>
      </c>
      <c r="R7" s="30">
        <v>0</v>
      </c>
      <c r="S7" s="30">
        <v>0</v>
      </c>
      <c r="T7" s="49">
        <f t="shared" ref="T7:T37" si="1">SUM(R7:S7)</f>
        <v>0</v>
      </c>
      <c r="U7" s="30">
        <v>0</v>
      </c>
      <c r="V7" s="30">
        <v>0</v>
      </c>
      <c r="W7" s="49">
        <f t="shared" ref="W7:W37" si="2">SUM(U7:V7)</f>
        <v>0</v>
      </c>
      <c r="X7" s="30">
        <v>0</v>
      </c>
      <c r="Y7" s="30">
        <v>0</v>
      </c>
      <c r="Z7" s="30">
        <v>0</v>
      </c>
      <c r="AA7" s="30">
        <v>0</v>
      </c>
      <c r="AB7" s="247"/>
      <c r="AC7" s="243">
        <f>AB7</f>
        <v>0</v>
      </c>
      <c r="AD7" s="92"/>
      <c r="AE7" s="7">
        <v>0</v>
      </c>
      <c r="AF7" s="7">
        <f>AE7</f>
        <v>0</v>
      </c>
      <c r="AG7" s="90"/>
      <c r="AH7" s="90"/>
      <c r="AI7" s="98"/>
      <c r="AJ7" s="90"/>
      <c r="AK7" s="90"/>
      <c r="AL7" s="90"/>
      <c r="AM7" s="17" t="s">
        <v>45</v>
      </c>
      <c r="AO7" s="79"/>
      <c r="AP7" s="74"/>
      <c r="AQ7" s="74"/>
    </row>
    <row r="8" spans="2:43" x14ac:dyDescent="0.25">
      <c r="B8" s="8">
        <f>B7+1</f>
        <v>44683</v>
      </c>
      <c r="C8" s="42" t="str">
        <f t="shared" ref="C8:C37" si="3">TEXT(B8,"ddd")</f>
        <v>Mon</v>
      </c>
      <c r="D8" s="93"/>
      <c r="E8" s="93"/>
      <c r="F8" s="93"/>
      <c r="G8" s="19">
        <f t="shared" si="0"/>
        <v>0</v>
      </c>
      <c r="H8" s="94"/>
      <c r="I8" s="95"/>
      <c r="J8" s="22">
        <f t="shared" ref="J8:J22" si="4">I8-I7</f>
        <v>0</v>
      </c>
      <c r="K8" s="97"/>
      <c r="L8" s="22">
        <f>K8-K7</f>
        <v>0</v>
      </c>
      <c r="M8" s="26"/>
      <c r="N8" s="26"/>
      <c r="O8" s="22"/>
      <c r="P8" s="22"/>
      <c r="Q8" s="21">
        <f t="shared" ref="Q8:Q37" si="5">P8-P7</f>
        <v>0</v>
      </c>
      <c r="R8" s="30">
        <v>0</v>
      </c>
      <c r="S8" s="30">
        <v>0</v>
      </c>
      <c r="T8" s="49">
        <f t="shared" si="1"/>
        <v>0</v>
      </c>
      <c r="U8" s="30">
        <v>0</v>
      </c>
      <c r="V8" s="30">
        <v>0</v>
      </c>
      <c r="W8" s="49">
        <f t="shared" si="2"/>
        <v>0</v>
      </c>
      <c r="X8" s="30">
        <v>0</v>
      </c>
      <c r="Y8" s="30">
        <v>0</v>
      </c>
      <c r="Z8" s="30">
        <v>0</v>
      </c>
      <c r="AA8" s="30">
        <v>0</v>
      </c>
      <c r="AB8" s="247"/>
      <c r="AC8" s="243">
        <f>AB8+AC7</f>
        <v>0</v>
      </c>
      <c r="AD8" s="92"/>
      <c r="AE8" s="7">
        <v>0</v>
      </c>
      <c r="AF8" s="7">
        <f>AE8+AF7</f>
        <v>0</v>
      </c>
      <c r="AG8" s="90"/>
      <c r="AH8" s="90"/>
      <c r="AI8" s="98"/>
      <c r="AJ8" s="90"/>
      <c r="AK8" s="90"/>
      <c r="AL8" s="90"/>
      <c r="AM8" s="17" t="s">
        <v>45</v>
      </c>
      <c r="AO8" s="79"/>
      <c r="AP8" s="74"/>
      <c r="AQ8" s="74"/>
    </row>
    <row r="9" spans="2:43" x14ac:dyDescent="0.25">
      <c r="B9" s="8">
        <f>B8+1</f>
        <v>44684</v>
      </c>
      <c r="C9" s="42" t="str">
        <f t="shared" si="3"/>
        <v>Tue</v>
      </c>
      <c r="D9" s="93"/>
      <c r="E9" s="93"/>
      <c r="F9" s="93"/>
      <c r="G9" s="19">
        <f t="shared" si="0"/>
        <v>0</v>
      </c>
      <c r="H9" s="94"/>
      <c r="I9" s="95"/>
      <c r="J9" s="22">
        <f t="shared" si="4"/>
        <v>0</v>
      </c>
      <c r="K9" s="97"/>
      <c r="L9" s="22">
        <f>K9-K8</f>
        <v>0</v>
      </c>
      <c r="M9" s="26"/>
      <c r="N9" s="26"/>
      <c r="O9" s="22"/>
      <c r="P9" s="22"/>
      <c r="Q9" s="21">
        <f t="shared" si="5"/>
        <v>0</v>
      </c>
      <c r="R9" s="30">
        <v>0</v>
      </c>
      <c r="S9" s="30">
        <v>0</v>
      </c>
      <c r="T9" s="49">
        <f t="shared" si="1"/>
        <v>0</v>
      </c>
      <c r="U9" s="30">
        <v>0</v>
      </c>
      <c r="V9" s="30">
        <v>0</v>
      </c>
      <c r="W9" s="49">
        <f t="shared" si="2"/>
        <v>0</v>
      </c>
      <c r="X9" s="30">
        <v>0</v>
      </c>
      <c r="Y9" s="30">
        <v>0</v>
      </c>
      <c r="Z9" s="30">
        <v>0</v>
      </c>
      <c r="AA9" s="30">
        <v>0</v>
      </c>
      <c r="AB9" s="247"/>
      <c r="AC9" s="243">
        <f>AB9+AC8</f>
        <v>0</v>
      </c>
      <c r="AD9" s="92"/>
      <c r="AE9" s="7">
        <v>0</v>
      </c>
      <c r="AF9" s="7">
        <f>AE9+AF8</f>
        <v>0</v>
      </c>
      <c r="AG9" s="90"/>
      <c r="AH9" s="90"/>
      <c r="AI9" s="98"/>
      <c r="AJ9" s="90"/>
      <c r="AK9" s="90"/>
      <c r="AL9" s="90"/>
      <c r="AM9" s="17" t="s">
        <v>45</v>
      </c>
      <c r="AO9" s="79"/>
      <c r="AP9" s="74"/>
      <c r="AQ9" s="74"/>
    </row>
    <row r="10" spans="2:43" x14ac:dyDescent="0.25">
      <c r="B10" s="8">
        <f t="shared" ref="B10:B37" si="6">B9+1</f>
        <v>44685</v>
      </c>
      <c r="C10" s="42" t="str">
        <f t="shared" si="3"/>
        <v>Wed</v>
      </c>
      <c r="D10" s="93"/>
      <c r="E10" s="93"/>
      <c r="F10" s="93"/>
      <c r="G10" s="19">
        <f t="shared" si="0"/>
        <v>0</v>
      </c>
      <c r="H10" s="94"/>
      <c r="I10" s="95"/>
      <c r="J10" s="22">
        <f t="shared" si="4"/>
        <v>0</v>
      </c>
      <c r="K10" s="97"/>
      <c r="L10" s="22">
        <f>K10-K9</f>
        <v>0</v>
      </c>
      <c r="M10" s="26"/>
      <c r="N10" s="26"/>
      <c r="O10" s="22"/>
      <c r="P10" s="22"/>
      <c r="Q10" s="21">
        <f t="shared" si="5"/>
        <v>0</v>
      </c>
      <c r="R10" s="30">
        <v>0</v>
      </c>
      <c r="S10" s="30">
        <v>0</v>
      </c>
      <c r="T10" s="49">
        <f t="shared" si="1"/>
        <v>0</v>
      </c>
      <c r="U10" s="30">
        <v>0</v>
      </c>
      <c r="V10" s="30">
        <v>0</v>
      </c>
      <c r="W10" s="49">
        <f t="shared" si="2"/>
        <v>0</v>
      </c>
      <c r="X10" s="30">
        <v>0</v>
      </c>
      <c r="Y10" s="30">
        <v>0</v>
      </c>
      <c r="Z10" s="30">
        <v>0</v>
      </c>
      <c r="AA10" s="30">
        <v>0</v>
      </c>
      <c r="AB10" s="247"/>
      <c r="AC10" s="243">
        <f>AB10+AC9</f>
        <v>0</v>
      </c>
      <c r="AD10" s="92"/>
      <c r="AE10" s="7">
        <v>78.75</v>
      </c>
      <c r="AF10" s="7">
        <f>AE10+AF9</f>
        <v>78.75</v>
      </c>
      <c r="AG10" s="90"/>
      <c r="AH10" s="90"/>
      <c r="AI10" s="98"/>
      <c r="AJ10" s="90"/>
      <c r="AK10" s="90"/>
      <c r="AL10" s="90"/>
      <c r="AM10" s="17" t="s">
        <v>45</v>
      </c>
      <c r="AO10" s="79"/>
      <c r="AP10" s="74"/>
      <c r="AQ10" s="74"/>
    </row>
    <row r="11" spans="2:43" x14ac:dyDescent="0.25">
      <c r="B11" s="8">
        <f t="shared" si="6"/>
        <v>44686</v>
      </c>
      <c r="C11" s="42" t="str">
        <f t="shared" si="3"/>
        <v>Thu</v>
      </c>
      <c r="D11" s="93"/>
      <c r="E11" s="93"/>
      <c r="F11" s="93"/>
      <c r="G11" s="19">
        <f t="shared" si="0"/>
        <v>0</v>
      </c>
      <c r="H11" s="94"/>
      <c r="I11" s="95"/>
      <c r="J11" s="22">
        <f t="shared" si="4"/>
        <v>0</v>
      </c>
      <c r="K11" s="97"/>
      <c r="L11" s="22">
        <f>K11-K10</f>
        <v>0</v>
      </c>
      <c r="M11" s="26"/>
      <c r="N11" s="26"/>
      <c r="O11" s="22"/>
      <c r="P11" s="22"/>
      <c r="Q11" s="21">
        <f t="shared" si="5"/>
        <v>0</v>
      </c>
      <c r="R11" s="30">
        <v>0</v>
      </c>
      <c r="S11" s="30">
        <v>0</v>
      </c>
      <c r="T11" s="49">
        <f t="shared" si="1"/>
        <v>0</v>
      </c>
      <c r="U11" s="30">
        <v>0</v>
      </c>
      <c r="V11" s="30">
        <v>0</v>
      </c>
      <c r="W11" s="49">
        <f t="shared" si="2"/>
        <v>0</v>
      </c>
      <c r="X11" s="30">
        <v>0</v>
      </c>
      <c r="Y11" s="30">
        <v>0</v>
      </c>
      <c r="Z11" s="30">
        <v>0</v>
      </c>
      <c r="AA11" s="30">
        <v>0</v>
      </c>
      <c r="AB11" s="247"/>
      <c r="AC11" s="243">
        <f t="shared" ref="AC11:AC37" si="7">AB11+AC10</f>
        <v>0</v>
      </c>
      <c r="AD11" s="92"/>
      <c r="AE11" s="7">
        <v>73.27</v>
      </c>
      <c r="AF11" s="7">
        <f t="shared" ref="AF11:AF37" si="8">AE11+AF10</f>
        <v>152.01999999999998</v>
      </c>
      <c r="AG11" s="90"/>
      <c r="AH11" s="90"/>
      <c r="AI11" s="98"/>
      <c r="AJ11" s="90"/>
      <c r="AK11" s="90"/>
      <c r="AL11" s="90"/>
      <c r="AM11" s="17" t="s">
        <v>45</v>
      </c>
      <c r="AO11" s="79"/>
      <c r="AP11" s="74"/>
      <c r="AQ11" s="74"/>
    </row>
    <row r="12" spans="2:43" x14ac:dyDescent="0.25">
      <c r="B12" s="8">
        <f t="shared" si="6"/>
        <v>44687</v>
      </c>
      <c r="C12" s="42" t="str">
        <f t="shared" si="3"/>
        <v>Fri</v>
      </c>
      <c r="D12" s="93"/>
      <c r="E12" s="93"/>
      <c r="F12" s="93"/>
      <c r="G12" s="19">
        <f t="shared" si="0"/>
        <v>0</v>
      </c>
      <c r="H12" s="94"/>
      <c r="I12" s="95"/>
      <c r="J12" s="22">
        <f t="shared" si="4"/>
        <v>0</v>
      </c>
      <c r="K12" s="97"/>
      <c r="L12" s="22">
        <f t="shared" ref="J12:L37" si="9">K12-K11</f>
        <v>0</v>
      </c>
      <c r="M12" s="26"/>
      <c r="N12" s="26"/>
      <c r="O12" s="22"/>
      <c r="P12" s="22"/>
      <c r="Q12" s="21">
        <f t="shared" si="5"/>
        <v>0</v>
      </c>
      <c r="R12" s="30">
        <v>0</v>
      </c>
      <c r="S12" s="30">
        <v>0</v>
      </c>
      <c r="T12" s="49">
        <f t="shared" si="1"/>
        <v>0</v>
      </c>
      <c r="U12" s="30">
        <v>0</v>
      </c>
      <c r="V12" s="30">
        <v>0</v>
      </c>
      <c r="W12" s="49">
        <f t="shared" si="2"/>
        <v>0</v>
      </c>
      <c r="X12" s="30">
        <v>0</v>
      </c>
      <c r="Y12" s="30">
        <v>0</v>
      </c>
      <c r="Z12" s="30">
        <v>0</v>
      </c>
      <c r="AA12" s="30">
        <v>0</v>
      </c>
      <c r="AB12" s="247"/>
      <c r="AC12" s="243">
        <f t="shared" si="7"/>
        <v>0</v>
      </c>
      <c r="AD12" s="92"/>
      <c r="AE12" s="7">
        <v>31.69</v>
      </c>
      <c r="AF12" s="7">
        <f t="shared" si="8"/>
        <v>183.70999999999998</v>
      </c>
      <c r="AG12" s="90"/>
      <c r="AH12" s="90"/>
      <c r="AI12" s="98"/>
      <c r="AJ12" s="90"/>
      <c r="AK12" s="90"/>
      <c r="AL12" s="90"/>
      <c r="AM12" s="17" t="s">
        <v>45</v>
      </c>
      <c r="AO12" s="79"/>
      <c r="AP12" s="74"/>
      <c r="AQ12" s="74"/>
    </row>
    <row r="13" spans="2:43" x14ac:dyDescent="0.25">
      <c r="B13" s="8">
        <f t="shared" si="6"/>
        <v>44688</v>
      </c>
      <c r="C13" s="42" t="str">
        <f t="shared" si="3"/>
        <v>Sat</v>
      </c>
      <c r="D13" s="93"/>
      <c r="E13" s="93"/>
      <c r="F13" s="93"/>
      <c r="G13" s="19">
        <f t="shared" si="0"/>
        <v>0</v>
      </c>
      <c r="H13" s="94"/>
      <c r="I13" s="95"/>
      <c r="J13" s="22">
        <f t="shared" si="4"/>
        <v>0</v>
      </c>
      <c r="K13" s="97"/>
      <c r="L13" s="22">
        <f t="shared" si="9"/>
        <v>0</v>
      </c>
      <c r="M13" s="26"/>
      <c r="N13" s="26"/>
      <c r="O13" s="22"/>
      <c r="P13" s="22"/>
      <c r="Q13" s="21">
        <f t="shared" si="5"/>
        <v>0</v>
      </c>
      <c r="R13" s="30">
        <v>0</v>
      </c>
      <c r="S13" s="30">
        <v>0</v>
      </c>
      <c r="T13" s="49">
        <f t="shared" si="1"/>
        <v>0</v>
      </c>
      <c r="U13" s="30">
        <v>0</v>
      </c>
      <c r="V13" s="30">
        <v>0</v>
      </c>
      <c r="W13" s="49">
        <f t="shared" si="2"/>
        <v>0</v>
      </c>
      <c r="X13" s="30">
        <v>0</v>
      </c>
      <c r="Y13" s="30">
        <v>0</v>
      </c>
      <c r="Z13" s="30">
        <v>0</v>
      </c>
      <c r="AA13" s="30">
        <v>0</v>
      </c>
      <c r="AB13" s="247"/>
      <c r="AC13" s="243">
        <f t="shared" si="7"/>
        <v>0</v>
      </c>
      <c r="AD13" s="92"/>
      <c r="AE13" s="7">
        <v>157.05000000000001</v>
      </c>
      <c r="AF13" s="7">
        <f t="shared" si="8"/>
        <v>340.76</v>
      </c>
      <c r="AG13" s="90"/>
      <c r="AH13" s="90"/>
      <c r="AI13" s="98"/>
      <c r="AJ13" s="90"/>
      <c r="AK13" s="90"/>
      <c r="AL13" s="90"/>
      <c r="AM13" s="17" t="s">
        <v>45</v>
      </c>
      <c r="AO13" s="79"/>
      <c r="AP13" s="74"/>
      <c r="AQ13" s="74"/>
    </row>
    <row r="14" spans="2:43" x14ac:dyDescent="0.25">
      <c r="B14" s="8">
        <f t="shared" si="6"/>
        <v>44689</v>
      </c>
      <c r="C14" s="42" t="str">
        <f t="shared" si="3"/>
        <v>Sun</v>
      </c>
      <c r="D14" s="93"/>
      <c r="E14" s="93"/>
      <c r="F14" s="93"/>
      <c r="G14" s="19">
        <f t="shared" si="0"/>
        <v>0</v>
      </c>
      <c r="H14" s="94"/>
      <c r="I14" s="95"/>
      <c r="J14" s="22">
        <f t="shared" si="4"/>
        <v>0</v>
      </c>
      <c r="K14" s="97"/>
      <c r="L14" s="22">
        <f t="shared" si="9"/>
        <v>0</v>
      </c>
      <c r="M14" s="26"/>
      <c r="N14" s="26"/>
      <c r="O14" s="22"/>
      <c r="P14" s="22"/>
      <c r="Q14" s="21">
        <f t="shared" si="5"/>
        <v>0</v>
      </c>
      <c r="R14" s="30">
        <v>0</v>
      </c>
      <c r="S14" s="30">
        <v>0</v>
      </c>
      <c r="T14" s="49">
        <f t="shared" si="1"/>
        <v>0</v>
      </c>
      <c r="U14" s="30">
        <v>0</v>
      </c>
      <c r="V14" s="30">
        <v>0</v>
      </c>
      <c r="W14" s="49">
        <f t="shared" si="2"/>
        <v>0</v>
      </c>
      <c r="X14" s="30">
        <v>0</v>
      </c>
      <c r="Y14" s="30">
        <v>0</v>
      </c>
      <c r="Z14" s="30">
        <v>0</v>
      </c>
      <c r="AA14" s="30">
        <v>0</v>
      </c>
      <c r="AB14" s="247"/>
      <c r="AC14" s="243">
        <f t="shared" si="7"/>
        <v>0</v>
      </c>
      <c r="AD14" s="92"/>
      <c r="AE14" s="7">
        <v>0</v>
      </c>
      <c r="AF14" s="7">
        <f t="shared" si="8"/>
        <v>340.76</v>
      </c>
      <c r="AG14" s="90"/>
      <c r="AH14" s="90"/>
      <c r="AI14" s="98"/>
      <c r="AJ14" s="90"/>
      <c r="AK14" s="90"/>
      <c r="AL14" s="90"/>
      <c r="AM14" s="17" t="s">
        <v>45</v>
      </c>
      <c r="AO14" s="79"/>
      <c r="AP14" s="74"/>
      <c r="AQ14" s="74"/>
    </row>
    <row r="15" spans="2:43" x14ac:dyDescent="0.25">
      <c r="B15" s="8">
        <f t="shared" si="6"/>
        <v>44690</v>
      </c>
      <c r="C15" s="42" t="str">
        <f t="shared" si="3"/>
        <v>Mon</v>
      </c>
      <c r="D15" s="93"/>
      <c r="E15" s="93"/>
      <c r="F15" s="93"/>
      <c r="G15" s="19">
        <f t="shared" si="0"/>
        <v>0</v>
      </c>
      <c r="H15" s="94"/>
      <c r="I15" s="95"/>
      <c r="J15" s="22">
        <f t="shared" si="4"/>
        <v>0</v>
      </c>
      <c r="K15" s="97"/>
      <c r="L15" s="22">
        <f t="shared" si="9"/>
        <v>0</v>
      </c>
      <c r="M15" s="25"/>
      <c r="N15" s="25"/>
      <c r="O15" s="22"/>
      <c r="P15" s="22"/>
      <c r="Q15" s="21">
        <f t="shared" si="5"/>
        <v>0</v>
      </c>
      <c r="R15" s="30">
        <v>0</v>
      </c>
      <c r="S15" s="30">
        <v>0</v>
      </c>
      <c r="T15" s="49">
        <f t="shared" si="1"/>
        <v>0</v>
      </c>
      <c r="U15" s="30">
        <v>0</v>
      </c>
      <c r="V15" s="30">
        <v>0</v>
      </c>
      <c r="W15" s="49">
        <f t="shared" si="2"/>
        <v>0</v>
      </c>
      <c r="X15" s="30">
        <v>0</v>
      </c>
      <c r="Y15" s="30">
        <v>0</v>
      </c>
      <c r="Z15" s="30">
        <v>0</v>
      </c>
      <c r="AA15" s="30">
        <v>0</v>
      </c>
      <c r="AB15" s="247"/>
      <c r="AC15" s="243">
        <f t="shared" si="7"/>
        <v>0</v>
      </c>
      <c r="AD15" s="92"/>
      <c r="AE15" s="7">
        <v>0</v>
      </c>
      <c r="AF15" s="7">
        <f t="shared" si="8"/>
        <v>340.76</v>
      </c>
      <c r="AG15" s="90"/>
      <c r="AH15" s="90"/>
      <c r="AI15" s="98"/>
      <c r="AJ15" s="90"/>
      <c r="AK15" s="90"/>
      <c r="AL15" s="90"/>
      <c r="AM15" s="17" t="s">
        <v>45</v>
      </c>
      <c r="AO15" s="79"/>
      <c r="AP15" s="74"/>
      <c r="AQ15" s="74"/>
    </row>
    <row r="16" spans="2:43" x14ac:dyDescent="0.25">
      <c r="B16" s="8">
        <f t="shared" si="6"/>
        <v>44691</v>
      </c>
      <c r="C16" s="42" t="str">
        <f t="shared" si="3"/>
        <v>Tue</v>
      </c>
      <c r="D16" s="93"/>
      <c r="E16" s="93"/>
      <c r="F16" s="93"/>
      <c r="G16" s="19">
        <f t="shared" si="0"/>
        <v>0</v>
      </c>
      <c r="H16" s="94"/>
      <c r="I16" s="95"/>
      <c r="J16" s="22">
        <f t="shared" si="4"/>
        <v>0</v>
      </c>
      <c r="K16" s="97"/>
      <c r="L16" s="22">
        <f t="shared" si="9"/>
        <v>0</v>
      </c>
      <c r="M16" s="23"/>
      <c r="N16" s="23"/>
      <c r="O16" s="22"/>
      <c r="P16" s="22"/>
      <c r="Q16" s="21">
        <f t="shared" si="5"/>
        <v>0</v>
      </c>
      <c r="R16" s="30">
        <v>0</v>
      </c>
      <c r="S16" s="30">
        <v>0</v>
      </c>
      <c r="T16" s="49">
        <f t="shared" si="1"/>
        <v>0</v>
      </c>
      <c r="U16" s="30">
        <v>0</v>
      </c>
      <c r="V16" s="30">
        <v>0</v>
      </c>
      <c r="W16" s="49">
        <f t="shared" si="2"/>
        <v>0</v>
      </c>
      <c r="X16" s="30">
        <v>0</v>
      </c>
      <c r="Y16" s="30">
        <v>0</v>
      </c>
      <c r="Z16" s="30">
        <v>0</v>
      </c>
      <c r="AA16" s="30">
        <v>0</v>
      </c>
      <c r="AB16" s="247"/>
      <c r="AC16" s="243">
        <f t="shared" si="7"/>
        <v>0</v>
      </c>
      <c r="AD16" s="92"/>
      <c r="AE16" s="7">
        <v>0</v>
      </c>
      <c r="AF16" s="7">
        <f t="shared" si="8"/>
        <v>340.76</v>
      </c>
      <c r="AG16" s="90"/>
      <c r="AH16" s="90"/>
      <c r="AI16" s="98"/>
      <c r="AJ16" s="90"/>
      <c r="AK16" s="90"/>
      <c r="AL16" s="90"/>
      <c r="AM16" s="17" t="s">
        <v>45</v>
      </c>
      <c r="AO16" s="79"/>
      <c r="AP16" s="74"/>
      <c r="AQ16" s="74"/>
    </row>
    <row r="17" spans="2:43" x14ac:dyDescent="0.25">
      <c r="B17" s="8">
        <f t="shared" si="6"/>
        <v>44692</v>
      </c>
      <c r="C17" s="42" t="str">
        <f t="shared" si="3"/>
        <v>Wed</v>
      </c>
      <c r="D17" s="93"/>
      <c r="E17" s="93"/>
      <c r="F17" s="93"/>
      <c r="G17" s="19">
        <f t="shared" si="0"/>
        <v>0</v>
      </c>
      <c r="H17" s="94"/>
      <c r="I17" s="95"/>
      <c r="J17" s="22">
        <f t="shared" si="4"/>
        <v>0</v>
      </c>
      <c r="K17" s="97"/>
      <c r="L17" s="22">
        <f t="shared" si="9"/>
        <v>0</v>
      </c>
      <c r="M17" s="26"/>
      <c r="N17" s="26"/>
      <c r="O17" s="22"/>
      <c r="P17" s="22"/>
      <c r="Q17" s="21">
        <f t="shared" si="5"/>
        <v>0</v>
      </c>
      <c r="R17" s="30">
        <v>0</v>
      </c>
      <c r="S17" s="30">
        <v>0</v>
      </c>
      <c r="T17" s="49">
        <f t="shared" si="1"/>
        <v>0</v>
      </c>
      <c r="U17" s="30">
        <v>0</v>
      </c>
      <c r="V17" s="30">
        <v>0</v>
      </c>
      <c r="W17" s="49">
        <f t="shared" si="2"/>
        <v>0</v>
      </c>
      <c r="X17" s="30">
        <v>0</v>
      </c>
      <c r="Y17" s="30">
        <v>0</v>
      </c>
      <c r="Z17" s="30">
        <v>0</v>
      </c>
      <c r="AA17" s="30">
        <v>0</v>
      </c>
      <c r="AB17" s="247"/>
      <c r="AC17" s="243">
        <f t="shared" si="7"/>
        <v>0</v>
      </c>
      <c r="AD17" s="92"/>
      <c r="AE17" s="7">
        <v>152.62</v>
      </c>
      <c r="AF17" s="7">
        <f t="shared" si="8"/>
        <v>493.38</v>
      </c>
      <c r="AG17" s="90"/>
      <c r="AH17" s="90"/>
      <c r="AI17" s="98"/>
      <c r="AJ17" s="90"/>
      <c r="AK17" s="90"/>
      <c r="AL17" s="90"/>
      <c r="AM17" s="17" t="s">
        <v>45</v>
      </c>
      <c r="AO17" s="79"/>
      <c r="AP17" s="74"/>
      <c r="AQ17" s="74"/>
    </row>
    <row r="18" spans="2:43" x14ac:dyDescent="0.25">
      <c r="B18" s="8">
        <f t="shared" si="6"/>
        <v>44693</v>
      </c>
      <c r="C18" s="42" t="str">
        <f t="shared" si="3"/>
        <v>Thu</v>
      </c>
      <c r="D18" s="93"/>
      <c r="E18" s="93"/>
      <c r="F18" s="93"/>
      <c r="G18" s="19">
        <f t="shared" si="0"/>
        <v>0</v>
      </c>
      <c r="H18" s="94"/>
      <c r="I18" s="95"/>
      <c r="J18" s="22">
        <f t="shared" si="4"/>
        <v>0</v>
      </c>
      <c r="K18" s="97"/>
      <c r="L18" s="22">
        <f t="shared" si="9"/>
        <v>0</v>
      </c>
      <c r="M18" s="26"/>
      <c r="N18" s="26"/>
      <c r="O18" s="22"/>
      <c r="P18" s="22"/>
      <c r="Q18" s="21">
        <f t="shared" si="5"/>
        <v>0</v>
      </c>
      <c r="R18" s="30">
        <v>0</v>
      </c>
      <c r="S18" s="30">
        <v>0</v>
      </c>
      <c r="T18" s="49">
        <f t="shared" si="1"/>
        <v>0</v>
      </c>
      <c r="U18" s="30">
        <v>0</v>
      </c>
      <c r="V18" s="30">
        <v>0</v>
      </c>
      <c r="W18" s="49">
        <f t="shared" si="2"/>
        <v>0</v>
      </c>
      <c r="X18" s="30">
        <v>0</v>
      </c>
      <c r="Y18" s="30">
        <v>0</v>
      </c>
      <c r="Z18" s="30">
        <v>0</v>
      </c>
      <c r="AA18" s="30">
        <v>0</v>
      </c>
      <c r="AB18" s="244"/>
      <c r="AC18" s="243">
        <f t="shared" si="7"/>
        <v>0</v>
      </c>
      <c r="AD18" s="92"/>
      <c r="AE18" s="7">
        <v>52.89</v>
      </c>
      <c r="AF18" s="7">
        <f t="shared" si="8"/>
        <v>546.27</v>
      </c>
      <c r="AG18" s="90"/>
      <c r="AH18" s="90"/>
      <c r="AI18" s="98"/>
      <c r="AJ18" s="90"/>
      <c r="AK18" s="90"/>
      <c r="AL18" s="90"/>
      <c r="AM18" s="17" t="s">
        <v>45</v>
      </c>
      <c r="AO18" s="79"/>
      <c r="AP18" s="74"/>
      <c r="AQ18" s="74"/>
    </row>
    <row r="19" spans="2:43" x14ac:dyDescent="0.25">
      <c r="B19" s="8">
        <f t="shared" si="6"/>
        <v>44694</v>
      </c>
      <c r="C19" s="42" t="str">
        <f t="shared" si="3"/>
        <v>Fri</v>
      </c>
      <c r="D19" s="93"/>
      <c r="E19" s="93"/>
      <c r="F19" s="93"/>
      <c r="G19" s="19">
        <f t="shared" si="0"/>
        <v>0</v>
      </c>
      <c r="H19" s="94"/>
      <c r="I19" s="95"/>
      <c r="J19" s="22">
        <f t="shared" si="4"/>
        <v>0</v>
      </c>
      <c r="K19" s="97"/>
      <c r="L19" s="22">
        <f t="shared" si="9"/>
        <v>0</v>
      </c>
      <c r="M19" s="26"/>
      <c r="N19" s="26"/>
      <c r="O19" s="22"/>
      <c r="P19" s="22"/>
      <c r="Q19" s="21">
        <f t="shared" si="5"/>
        <v>0</v>
      </c>
      <c r="R19" s="30">
        <v>0</v>
      </c>
      <c r="S19" s="30">
        <v>0</v>
      </c>
      <c r="T19" s="49">
        <f t="shared" si="1"/>
        <v>0</v>
      </c>
      <c r="U19" s="30">
        <v>0</v>
      </c>
      <c r="V19" s="30">
        <v>0</v>
      </c>
      <c r="W19" s="49">
        <f t="shared" si="2"/>
        <v>0</v>
      </c>
      <c r="X19" s="30">
        <v>0</v>
      </c>
      <c r="Y19" s="30">
        <v>0</v>
      </c>
      <c r="Z19" s="30">
        <v>0</v>
      </c>
      <c r="AA19" s="30">
        <v>0</v>
      </c>
      <c r="AB19" s="242"/>
      <c r="AC19" s="243">
        <f t="shared" si="7"/>
        <v>0</v>
      </c>
      <c r="AD19" s="92"/>
      <c r="AE19" s="7">
        <v>140.26</v>
      </c>
      <c r="AF19" s="7">
        <f t="shared" si="8"/>
        <v>686.53</v>
      </c>
      <c r="AG19" s="90"/>
      <c r="AH19" s="90"/>
      <c r="AI19" s="98"/>
      <c r="AJ19" s="90"/>
      <c r="AK19" s="90"/>
      <c r="AL19" s="90"/>
      <c r="AM19" s="17" t="s">
        <v>45</v>
      </c>
      <c r="AO19" s="79"/>
      <c r="AP19" s="74"/>
      <c r="AQ19" s="74"/>
    </row>
    <row r="20" spans="2:43" x14ac:dyDescent="0.25">
      <c r="B20" s="8">
        <f t="shared" si="6"/>
        <v>44695</v>
      </c>
      <c r="C20" s="42" t="str">
        <f t="shared" si="3"/>
        <v>Sat</v>
      </c>
      <c r="D20" s="93"/>
      <c r="E20" s="93"/>
      <c r="F20" s="93"/>
      <c r="G20" s="19">
        <f t="shared" si="0"/>
        <v>0</v>
      </c>
      <c r="H20" s="94"/>
      <c r="I20" s="95"/>
      <c r="J20" s="22">
        <f t="shared" si="4"/>
        <v>0</v>
      </c>
      <c r="K20" s="97"/>
      <c r="L20" s="22">
        <f t="shared" si="9"/>
        <v>0</v>
      </c>
      <c r="M20" s="26"/>
      <c r="N20" s="26"/>
      <c r="O20" s="22"/>
      <c r="P20" s="22"/>
      <c r="Q20" s="21">
        <f t="shared" si="5"/>
        <v>0</v>
      </c>
      <c r="R20" s="30">
        <v>0</v>
      </c>
      <c r="S20" s="30">
        <v>0</v>
      </c>
      <c r="T20" s="49">
        <f t="shared" si="1"/>
        <v>0</v>
      </c>
      <c r="U20" s="30">
        <v>0</v>
      </c>
      <c r="V20" s="30">
        <v>0</v>
      </c>
      <c r="W20" s="49">
        <f t="shared" si="2"/>
        <v>0</v>
      </c>
      <c r="X20" s="30">
        <v>0</v>
      </c>
      <c r="Y20" s="30">
        <v>0</v>
      </c>
      <c r="Z20" s="30">
        <v>0</v>
      </c>
      <c r="AA20" s="30">
        <v>0</v>
      </c>
      <c r="AB20" s="247"/>
      <c r="AC20" s="243">
        <f t="shared" si="7"/>
        <v>0</v>
      </c>
      <c r="AD20" s="92"/>
      <c r="AE20" s="7">
        <v>21.37</v>
      </c>
      <c r="AF20" s="7">
        <f t="shared" si="8"/>
        <v>707.9</v>
      </c>
      <c r="AG20" s="90"/>
      <c r="AH20" s="90"/>
      <c r="AI20" s="98"/>
      <c r="AJ20" s="90"/>
      <c r="AK20" s="90"/>
      <c r="AL20" s="90"/>
      <c r="AM20" s="17" t="s">
        <v>45</v>
      </c>
      <c r="AO20" s="79"/>
      <c r="AP20" s="74"/>
      <c r="AQ20" s="74"/>
    </row>
    <row r="21" spans="2:43" x14ac:dyDescent="0.25">
      <c r="B21" s="8">
        <f t="shared" si="6"/>
        <v>44696</v>
      </c>
      <c r="C21" s="42" t="str">
        <f t="shared" si="3"/>
        <v>Sun</v>
      </c>
      <c r="D21" s="93"/>
      <c r="E21" s="93"/>
      <c r="F21" s="93"/>
      <c r="G21" s="19">
        <f t="shared" si="0"/>
        <v>0</v>
      </c>
      <c r="H21" s="94"/>
      <c r="I21" s="95"/>
      <c r="J21" s="22">
        <f t="shared" si="4"/>
        <v>0</v>
      </c>
      <c r="K21" s="97"/>
      <c r="L21" s="22">
        <f t="shared" si="9"/>
        <v>0</v>
      </c>
      <c r="M21" s="26"/>
      <c r="N21" s="26"/>
      <c r="O21" s="22"/>
      <c r="P21" s="22"/>
      <c r="Q21" s="21">
        <f t="shared" si="5"/>
        <v>0</v>
      </c>
      <c r="R21" s="30">
        <v>0</v>
      </c>
      <c r="S21" s="30">
        <v>0</v>
      </c>
      <c r="T21" s="49">
        <f t="shared" si="1"/>
        <v>0</v>
      </c>
      <c r="U21" s="30">
        <v>0</v>
      </c>
      <c r="V21" s="30">
        <v>0</v>
      </c>
      <c r="W21" s="49">
        <f t="shared" si="2"/>
        <v>0</v>
      </c>
      <c r="X21" s="30">
        <v>0</v>
      </c>
      <c r="Y21" s="30">
        <v>0</v>
      </c>
      <c r="Z21" s="30">
        <v>0</v>
      </c>
      <c r="AA21" s="30">
        <v>0</v>
      </c>
      <c r="AB21" s="247"/>
      <c r="AC21" s="243">
        <f t="shared" si="7"/>
        <v>0</v>
      </c>
      <c r="AD21" s="92"/>
      <c r="AE21" s="7">
        <v>0</v>
      </c>
      <c r="AF21" s="7">
        <f t="shared" si="8"/>
        <v>707.9</v>
      </c>
      <c r="AG21" s="90"/>
      <c r="AH21" s="90"/>
      <c r="AI21" s="98"/>
      <c r="AJ21" s="90"/>
      <c r="AK21" s="90"/>
      <c r="AL21" s="90"/>
      <c r="AM21" s="17" t="s">
        <v>45</v>
      </c>
      <c r="AP21" s="74"/>
      <c r="AQ21" s="74"/>
    </row>
    <row r="22" spans="2:43" x14ac:dyDescent="0.25">
      <c r="B22" s="8">
        <f t="shared" si="6"/>
        <v>44697</v>
      </c>
      <c r="C22" s="42" t="str">
        <f t="shared" si="3"/>
        <v>Mon</v>
      </c>
      <c r="D22" s="93"/>
      <c r="E22" s="93"/>
      <c r="F22" s="93"/>
      <c r="G22" s="19">
        <f t="shared" si="0"/>
        <v>0</v>
      </c>
      <c r="H22" s="94"/>
      <c r="I22" s="95"/>
      <c r="J22" s="22">
        <f t="shared" si="4"/>
        <v>0</v>
      </c>
      <c r="K22" s="97"/>
      <c r="L22" s="22">
        <f t="shared" si="9"/>
        <v>0</v>
      </c>
      <c r="M22" s="26"/>
      <c r="N22" s="26"/>
      <c r="O22" s="22"/>
      <c r="P22" s="22"/>
      <c r="Q22" s="21">
        <f t="shared" si="5"/>
        <v>0</v>
      </c>
      <c r="R22" s="30">
        <v>0</v>
      </c>
      <c r="S22" s="30">
        <v>0</v>
      </c>
      <c r="T22" s="49">
        <f t="shared" si="1"/>
        <v>0</v>
      </c>
      <c r="U22" s="30">
        <v>0</v>
      </c>
      <c r="V22" s="30">
        <v>0</v>
      </c>
      <c r="W22" s="49">
        <f t="shared" si="2"/>
        <v>0</v>
      </c>
      <c r="X22" s="30">
        <v>0</v>
      </c>
      <c r="Y22" s="30">
        <v>0</v>
      </c>
      <c r="Z22" s="30">
        <v>0</v>
      </c>
      <c r="AA22" s="30">
        <v>0</v>
      </c>
      <c r="AB22" s="247"/>
      <c r="AC22" s="243">
        <f t="shared" si="7"/>
        <v>0</v>
      </c>
      <c r="AD22" s="92"/>
      <c r="AE22" s="7">
        <v>0</v>
      </c>
      <c r="AF22" s="7">
        <f t="shared" si="8"/>
        <v>707.9</v>
      </c>
      <c r="AG22" s="90"/>
      <c r="AH22" s="90"/>
      <c r="AI22" s="98"/>
      <c r="AJ22" s="90"/>
      <c r="AK22" s="90"/>
      <c r="AL22" s="90"/>
      <c r="AM22" s="17" t="s">
        <v>45</v>
      </c>
      <c r="AP22" s="74"/>
      <c r="AQ22" s="74"/>
    </row>
    <row r="23" spans="2:43" x14ac:dyDescent="0.25">
      <c r="B23" s="8">
        <f t="shared" si="6"/>
        <v>44698</v>
      </c>
      <c r="C23" s="42" t="str">
        <f t="shared" si="3"/>
        <v>Tue</v>
      </c>
      <c r="D23" s="93"/>
      <c r="E23" s="93"/>
      <c r="F23" s="93"/>
      <c r="G23" s="19">
        <f t="shared" si="0"/>
        <v>0</v>
      </c>
      <c r="H23" s="94"/>
      <c r="I23" s="95"/>
      <c r="J23" s="22">
        <f t="shared" si="9"/>
        <v>0</v>
      </c>
      <c r="K23" s="97">
        <v>11356</v>
      </c>
      <c r="L23" s="22">
        <f t="shared" si="9"/>
        <v>11356</v>
      </c>
      <c r="M23" s="26"/>
      <c r="N23" s="26"/>
      <c r="O23" s="22"/>
      <c r="P23" s="22"/>
      <c r="Q23" s="21">
        <f t="shared" si="5"/>
        <v>0</v>
      </c>
      <c r="R23" s="30">
        <v>0</v>
      </c>
      <c r="S23" s="30">
        <v>0</v>
      </c>
      <c r="T23" s="49">
        <f t="shared" si="1"/>
        <v>0</v>
      </c>
      <c r="U23" s="30">
        <v>0</v>
      </c>
      <c r="V23" s="30">
        <v>0</v>
      </c>
      <c r="W23" s="49">
        <f t="shared" si="2"/>
        <v>0</v>
      </c>
      <c r="X23" s="30">
        <v>0</v>
      </c>
      <c r="Y23" s="30">
        <v>0</v>
      </c>
      <c r="Z23" s="30">
        <v>0</v>
      </c>
      <c r="AA23" s="30">
        <v>0</v>
      </c>
      <c r="AB23" s="247"/>
      <c r="AC23" s="243">
        <f t="shared" si="7"/>
        <v>0</v>
      </c>
      <c r="AD23" s="92"/>
      <c r="AE23" s="7">
        <v>0</v>
      </c>
      <c r="AF23" s="7">
        <f t="shared" si="8"/>
        <v>707.9</v>
      </c>
      <c r="AG23" s="90"/>
      <c r="AH23" s="90"/>
      <c r="AI23" s="98"/>
      <c r="AJ23" s="90"/>
      <c r="AK23" s="90"/>
      <c r="AL23" s="90"/>
      <c r="AM23" s="17" t="s">
        <v>45</v>
      </c>
    </row>
    <row r="24" spans="2:43" x14ac:dyDescent="0.25">
      <c r="B24" s="8">
        <f t="shared" si="6"/>
        <v>44699</v>
      </c>
      <c r="C24" s="42" t="str">
        <f t="shared" si="3"/>
        <v>Wed</v>
      </c>
      <c r="D24" s="93">
        <v>1</v>
      </c>
      <c r="E24" s="93">
        <v>1</v>
      </c>
      <c r="F24" s="93">
        <v>0.77</v>
      </c>
      <c r="G24" s="19">
        <f t="shared" si="0"/>
        <v>23129.5</v>
      </c>
      <c r="H24" s="94">
        <v>0.55200000000000005</v>
      </c>
      <c r="I24" s="95"/>
      <c r="J24" s="22">
        <f t="shared" si="9"/>
        <v>0</v>
      </c>
      <c r="K24" s="97">
        <v>29685</v>
      </c>
      <c r="L24" s="22">
        <f t="shared" si="9"/>
        <v>18329</v>
      </c>
      <c r="M24" s="26"/>
      <c r="N24" s="26"/>
      <c r="O24" s="22"/>
      <c r="P24" s="22"/>
      <c r="Q24" s="21">
        <f t="shared" si="5"/>
        <v>0</v>
      </c>
      <c r="R24" s="30">
        <v>0</v>
      </c>
      <c r="S24" s="30">
        <v>0</v>
      </c>
      <c r="T24" s="49">
        <f t="shared" si="1"/>
        <v>0</v>
      </c>
      <c r="U24" s="30">
        <v>0</v>
      </c>
      <c r="V24" s="30">
        <v>0</v>
      </c>
      <c r="W24" s="49">
        <f t="shared" si="2"/>
        <v>0</v>
      </c>
      <c r="X24" s="30">
        <v>0</v>
      </c>
      <c r="Y24" s="30">
        <v>0</v>
      </c>
      <c r="Z24" s="30">
        <v>0</v>
      </c>
      <c r="AA24" s="30">
        <v>0</v>
      </c>
      <c r="AB24" s="247"/>
      <c r="AC24" s="243">
        <f t="shared" si="7"/>
        <v>0</v>
      </c>
      <c r="AD24" s="92"/>
      <c r="AE24" s="7">
        <v>204.38</v>
      </c>
      <c r="AF24" s="7">
        <f t="shared" si="8"/>
        <v>912.28</v>
      </c>
      <c r="AG24" s="90"/>
      <c r="AH24" s="90"/>
      <c r="AI24" s="98"/>
      <c r="AJ24" s="90"/>
      <c r="AK24" s="90"/>
      <c r="AL24" s="90"/>
      <c r="AM24" s="17" t="s">
        <v>45</v>
      </c>
      <c r="AO24" s="74"/>
    </row>
    <row r="25" spans="2:43" x14ac:dyDescent="0.25">
      <c r="B25" s="8">
        <f t="shared" si="6"/>
        <v>44700</v>
      </c>
      <c r="C25" s="42" t="str">
        <f t="shared" si="3"/>
        <v>Thu</v>
      </c>
      <c r="D25" s="93">
        <v>0</v>
      </c>
      <c r="E25" s="93">
        <v>0.54</v>
      </c>
      <c r="F25" s="93">
        <v>0.41</v>
      </c>
      <c r="G25" s="19">
        <f t="shared" si="0"/>
        <v>7932.5</v>
      </c>
      <c r="H25" s="94">
        <v>0.55600000000000005</v>
      </c>
      <c r="I25" s="95"/>
      <c r="J25" s="22">
        <f t="shared" si="9"/>
        <v>0</v>
      </c>
      <c r="K25" s="97">
        <v>38308</v>
      </c>
      <c r="L25" s="22">
        <f t="shared" si="9"/>
        <v>8623</v>
      </c>
      <c r="M25" s="26"/>
      <c r="N25" s="26"/>
      <c r="O25" s="22"/>
      <c r="P25" s="22"/>
      <c r="Q25" s="21">
        <f t="shared" si="5"/>
        <v>0</v>
      </c>
      <c r="R25" s="30">
        <v>0</v>
      </c>
      <c r="S25" s="30">
        <v>0</v>
      </c>
      <c r="T25" s="49">
        <f t="shared" si="1"/>
        <v>0</v>
      </c>
      <c r="U25" s="30">
        <v>0</v>
      </c>
      <c r="V25" s="30">
        <v>0</v>
      </c>
      <c r="W25" s="49">
        <f t="shared" si="2"/>
        <v>0</v>
      </c>
      <c r="X25" s="30">
        <v>0</v>
      </c>
      <c r="Y25" s="30">
        <v>0</v>
      </c>
      <c r="Z25" s="30">
        <v>0</v>
      </c>
      <c r="AA25" s="30">
        <v>0</v>
      </c>
      <c r="AB25" s="251"/>
      <c r="AC25" s="243">
        <f t="shared" si="7"/>
        <v>0</v>
      </c>
      <c r="AD25" s="92"/>
      <c r="AE25" s="7">
        <v>233.5</v>
      </c>
      <c r="AF25" s="7">
        <f t="shared" si="8"/>
        <v>1145.78</v>
      </c>
      <c r="AG25" s="90"/>
      <c r="AH25" s="90"/>
      <c r="AI25" s="98"/>
      <c r="AJ25" s="90"/>
      <c r="AK25" s="90"/>
      <c r="AL25" s="90"/>
      <c r="AM25" s="17" t="s">
        <v>46</v>
      </c>
      <c r="AO25" s="74"/>
    </row>
    <row r="26" spans="2:43" x14ac:dyDescent="0.25">
      <c r="B26" s="8">
        <f t="shared" si="6"/>
        <v>44701</v>
      </c>
      <c r="C26" s="42" t="str">
        <f t="shared" si="3"/>
        <v>Fri</v>
      </c>
      <c r="D26" s="93">
        <v>7.0000000000000007E-2</v>
      </c>
      <c r="E26" s="93">
        <v>0.84530000000000005</v>
      </c>
      <c r="F26" s="93">
        <v>0.72</v>
      </c>
      <c r="G26" s="19">
        <f t="shared" si="0"/>
        <v>13654.755000000001</v>
      </c>
      <c r="H26" s="94">
        <v>0.55000000000000004</v>
      </c>
      <c r="I26" s="95"/>
      <c r="J26" s="22">
        <f t="shared" si="9"/>
        <v>0</v>
      </c>
      <c r="K26" s="97">
        <v>63218</v>
      </c>
      <c r="L26" s="22">
        <f t="shared" si="9"/>
        <v>24910</v>
      </c>
      <c r="M26" s="26"/>
      <c r="N26" s="26"/>
      <c r="O26" s="22"/>
      <c r="P26" s="22"/>
      <c r="Q26" s="21">
        <f t="shared" si="5"/>
        <v>0</v>
      </c>
      <c r="R26" s="30">
        <v>0</v>
      </c>
      <c r="S26" s="30">
        <v>0</v>
      </c>
      <c r="T26" s="49">
        <f t="shared" si="1"/>
        <v>0</v>
      </c>
      <c r="U26" s="30">
        <v>0</v>
      </c>
      <c r="V26" s="30">
        <v>0</v>
      </c>
      <c r="W26" s="49">
        <f t="shared" si="2"/>
        <v>0</v>
      </c>
      <c r="X26" s="30">
        <v>0</v>
      </c>
      <c r="Y26" s="30">
        <v>0</v>
      </c>
      <c r="Z26" s="30">
        <v>0</v>
      </c>
      <c r="AA26" s="30">
        <v>0</v>
      </c>
      <c r="AB26" s="252"/>
      <c r="AC26" s="243">
        <f t="shared" si="7"/>
        <v>0</v>
      </c>
      <c r="AD26" s="92"/>
      <c r="AE26" s="7">
        <v>225.5</v>
      </c>
      <c r="AF26" s="7">
        <f t="shared" si="8"/>
        <v>1371.28</v>
      </c>
      <c r="AG26" s="98"/>
      <c r="AH26" s="90"/>
      <c r="AI26" s="98"/>
      <c r="AJ26" s="90"/>
      <c r="AK26" s="90"/>
      <c r="AL26" s="90"/>
      <c r="AM26" s="17" t="s">
        <v>46</v>
      </c>
      <c r="AO26" s="74"/>
    </row>
    <row r="27" spans="2:43" x14ac:dyDescent="0.25">
      <c r="B27" s="8">
        <f t="shared" si="6"/>
        <v>44702</v>
      </c>
      <c r="C27" s="42" t="str">
        <f t="shared" si="3"/>
        <v>Sat</v>
      </c>
      <c r="D27" s="93">
        <v>0.05</v>
      </c>
      <c r="E27" s="93">
        <v>0.49</v>
      </c>
      <c r="F27" s="93">
        <v>0.1135</v>
      </c>
      <c r="G27" s="19">
        <f t="shared" si="0"/>
        <v>5456.7250000000004</v>
      </c>
      <c r="H27" s="94">
        <v>0.56100000000000005</v>
      </c>
      <c r="I27" s="95"/>
      <c r="J27" s="22">
        <f t="shared" si="9"/>
        <v>0</v>
      </c>
      <c r="K27" s="97">
        <v>80268</v>
      </c>
      <c r="L27" s="22">
        <f t="shared" si="9"/>
        <v>17050</v>
      </c>
      <c r="M27" s="26"/>
      <c r="N27" s="26"/>
      <c r="O27" s="22"/>
      <c r="P27" s="22"/>
      <c r="Q27" s="21">
        <f t="shared" si="5"/>
        <v>0</v>
      </c>
      <c r="R27" s="30">
        <v>0</v>
      </c>
      <c r="S27" s="30">
        <v>0</v>
      </c>
      <c r="T27" s="49">
        <f t="shared" si="1"/>
        <v>0</v>
      </c>
      <c r="U27" s="30">
        <v>0</v>
      </c>
      <c r="V27" s="30">
        <v>0</v>
      </c>
      <c r="W27" s="49">
        <f t="shared" si="2"/>
        <v>0</v>
      </c>
      <c r="X27" s="30">
        <v>0</v>
      </c>
      <c r="Y27" s="30">
        <v>0</v>
      </c>
      <c r="Z27" s="30">
        <v>0</v>
      </c>
      <c r="AA27" s="30">
        <v>0</v>
      </c>
      <c r="AB27" s="252"/>
      <c r="AC27" s="243">
        <f t="shared" si="7"/>
        <v>0</v>
      </c>
      <c r="AD27" s="92"/>
      <c r="AE27" s="7">
        <v>135.51</v>
      </c>
      <c r="AF27" s="7">
        <f t="shared" si="8"/>
        <v>1506.79</v>
      </c>
      <c r="AG27" s="98"/>
      <c r="AH27" s="90"/>
      <c r="AI27" s="98"/>
      <c r="AJ27" s="90"/>
      <c r="AK27" s="90"/>
      <c r="AL27" s="90"/>
      <c r="AM27" s="17" t="s">
        <v>46</v>
      </c>
      <c r="AO27" s="74"/>
    </row>
    <row r="28" spans="2:43" x14ac:dyDescent="0.25">
      <c r="B28" s="8">
        <f t="shared" si="6"/>
        <v>44703</v>
      </c>
      <c r="C28" s="42" t="str">
        <f t="shared" si="3"/>
        <v>Sun</v>
      </c>
      <c r="D28" s="93">
        <v>0.19</v>
      </c>
      <c r="E28" s="93">
        <v>0.97</v>
      </c>
      <c r="F28" s="93">
        <v>0.24</v>
      </c>
      <c r="G28" s="19">
        <f t="shared" si="0"/>
        <v>11690</v>
      </c>
      <c r="H28" s="94">
        <v>0.55500000000000005</v>
      </c>
      <c r="I28" s="95"/>
      <c r="J28" s="22">
        <f t="shared" si="9"/>
        <v>0</v>
      </c>
      <c r="K28" s="97">
        <v>82900</v>
      </c>
      <c r="L28" s="22">
        <f t="shared" si="9"/>
        <v>2632</v>
      </c>
      <c r="M28" s="26"/>
      <c r="N28" s="26"/>
      <c r="O28" s="22"/>
      <c r="P28" s="22"/>
      <c r="Q28" s="21">
        <f t="shared" si="5"/>
        <v>0</v>
      </c>
      <c r="R28" s="30">
        <v>0</v>
      </c>
      <c r="S28" s="30">
        <v>0</v>
      </c>
      <c r="T28" s="49">
        <f t="shared" si="1"/>
        <v>0</v>
      </c>
      <c r="U28" s="30">
        <v>0</v>
      </c>
      <c r="V28" s="30">
        <v>4020</v>
      </c>
      <c r="W28" s="49">
        <f t="shared" si="2"/>
        <v>4020</v>
      </c>
      <c r="X28" s="30">
        <v>0</v>
      </c>
      <c r="Y28" s="30">
        <v>0</v>
      </c>
      <c r="Z28" s="30">
        <v>0</v>
      </c>
      <c r="AA28" s="44">
        <v>2.9699999999999989</v>
      </c>
      <c r="AB28" s="247"/>
      <c r="AC28" s="243">
        <f t="shared" si="7"/>
        <v>0</v>
      </c>
      <c r="AD28" s="92"/>
      <c r="AE28" s="7">
        <v>0</v>
      </c>
      <c r="AF28" s="7">
        <f t="shared" si="8"/>
        <v>1506.79</v>
      </c>
      <c r="AG28" s="98"/>
      <c r="AH28" s="90"/>
      <c r="AI28" s="98"/>
      <c r="AJ28" s="90"/>
      <c r="AK28" s="90"/>
      <c r="AL28" s="90"/>
      <c r="AM28" s="17" t="s">
        <v>47</v>
      </c>
      <c r="AO28" s="74"/>
    </row>
    <row r="29" spans="2:43" x14ac:dyDescent="0.25">
      <c r="B29" s="8">
        <f t="shared" si="6"/>
        <v>44704</v>
      </c>
      <c r="C29" s="42" t="str">
        <f t="shared" si="3"/>
        <v>Mon</v>
      </c>
      <c r="D29" s="93">
        <v>0.42</v>
      </c>
      <c r="E29" s="93">
        <v>1</v>
      </c>
      <c r="F29" s="93">
        <v>1</v>
      </c>
      <c r="G29" s="19">
        <f t="shared" si="0"/>
        <v>20207</v>
      </c>
      <c r="H29" s="94">
        <v>0.55600000000000005</v>
      </c>
      <c r="I29" s="95"/>
      <c r="J29" s="22">
        <f t="shared" si="9"/>
        <v>0</v>
      </c>
      <c r="K29" s="97">
        <v>82900</v>
      </c>
      <c r="L29" s="22">
        <f t="shared" si="9"/>
        <v>0</v>
      </c>
      <c r="M29" s="26"/>
      <c r="N29" s="26"/>
      <c r="O29" s="22"/>
      <c r="P29" s="22"/>
      <c r="Q29" s="21">
        <f t="shared" si="5"/>
        <v>0</v>
      </c>
      <c r="R29" s="30">
        <v>0</v>
      </c>
      <c r="S29" s="30">
        <v>0</v>
      </c>
      <c r="T29" s="49">
        <f t="shared" si="1"/>
        <v>0</v>
      </c>
      <c r="U29" s="30">
        <v>0</v>
      </c>
      <c r="V29" s="51">
        <v>17049</v>
      </c>
      <c r="W29" s="49">
        <f t="shared" si="2"/>
        <v>17049</v>
      </c>
      <c r="X29" s="30">
        <v>0</v>
      </c>
      <c r="Y29" s="30">
        <v>0</v>
      </c>
      <c r="Z29" s="30">
        <v>0</v>
      </c>
      <c r="AA29" s="44">
        <v>23.52000000000001</v>
      </c>
      <c r="AB29" s="247"/>
      <c r="AC29" s="243">
        <f t="shared" si="7"/>
        <v>0</v>
      </c>
      <c r="AD29" s="92"/>
      <c r="AE29" s="7">
        <v>144.63</v>
      </c>
      <c r="AF29" s="7">
        <f t="shared" si="8"/>
        <v>1651.42</v>
      </c>
      <c r="AG29" s="98"/>
      <c r="AH29" s="90"/>
      <c r="AI29" s="98"/>
      <c r="AJ29" s="90"/>
      <c r="AK29" s="90"/>
      <c r="AL29" s="90"/>
      <c r="AM29" s="17">
        <v>2</v>
      </c>
      <c r="AO29" s="74"/>
    </row>
    <row r="30" spans="2:43" ht="17.25" customHeight="1" x14ac:dyDescent="0.25">
      <c r="B30" s="8">
        <f t="shared" si="6"/>
        <v>44705</v>
      </c>
      <c r="C30" s="42" t="str">
        <f t="shared" si="3"/>
        <v>Tue</v>
      </c>
      <c r="D30" s="93">
        <v>0.4</v>
      </c>
      <c r="E30" s="93">
        <v>0.28079999999999999</v>
      </c>
      <c r="F30" s="93">
        <v>0</v>
      </c>
      <c r="G30" s="19">
        <f t="shared" si="0"/>
        <v>5684.68</v>
      </c>
      <c r="H30" s="94">
        <v>0.55200000000000005</v>
      </c>
      <c r="I30" s="95"/>
      <c r="J30" s="22">
        <f t="shared" si="9"/>
        <v>0</v>
      </c>
      <c r="K30" s="97">
        <v>113332</v>
      </c>
      <c r="L30" s="22">
        <f t="shared" si="9"/>
        <v>30432</v>
      </c>
      <c r="M30" s="110">
        <v>266</v>
      </c>
      <c r="N30" s="111"/>
      <c r="O30" s="22"/>
      <c r="P30" s="22"/>
      <c r="Q30" s="21">
        <f t="shared" si="5"/>
        <v>0</v>
      </c>
      <c r="R30" s="50">
        <v>266</v>
      </c>
      <c r="S30" s="30">
        <v>0</v>
      </c>
      <c r="T30" s="49">
        <f t="shared" si="1"/>
        <v>266</v>
      </c>
      <c r="U30" s="30">
        <v>0</v>
      </c>
      <c r="V30" s="51">
        <v>13430</v>
      </c>
      <c r="W30" s="49">
        <f t="shared" si="2"/>
        <v>13430</v>
      </c>
      <c r="X30" s="44">
        <v>0.87000000000000455</v>
      </c>
      <c r="Y30" s="30">
        <v>0</v>
      </c>
      <c r="Z30" s="30">
        <v>0</v>
      </c>
      <c r="AA30" s="44">
        <v>23.719999999999985</v>
      </c>
      <c r="AB30" s="252"/>
      <c r="AC30" s="243">
        <f t="shared" si="7"/>
        <v>0</v>
      </c>
      <c r="AD30" s="92"/>
      <c r="AE30" s="7">
        <v>307.99</v>
      </c>
      <c r="AF30" s="7">
        <f t="shared" si="8"/>
        <v>1959.41</v>
      </c>
      <c r="AG30" s="98"/>
      <c r="AH30" s="90"/>
      <c r="AI30" s="98"/>
      <c r="AJ30" s="90"/>
      <c r="AK30" s="90"/>
      <c r="AL30" s="90"/>
      <c r="AM30" s="17">
        <v>2</v>
      </c>
    </row>
    <row r="31" spans="2:43" ht="15" x14ac:dyDescent="0.25">
      <c r="B31" s="8">
        <f t="shared" si="6"/>
        <v>44706</v>
      </c>
      <c r="C31" s="42" t="str">
        <f t="shared" si="3"/>
        <v>Wed</v>
      </c>
      <c r="D31" s="93">
        <v>0.59</v>
      </c>
      <c r="E31" s="93">
        <v>0.11</v>
      </c>
      <c r="F31" s="93">
        <v>0</v>
      </c>
      <c r="G31" s="19">
        <f t="shared" si="0"/>
        <v>5845</v>
      </c>
      <c r="H31" s="94">
        <v>0.55700000000000005</v>
      </c>
      <c r="I31" s="95"/>
      <c r="J31" s="22">
        <f t="shared" si="9"/>
        <v>0</v>
      </c>
      <c r="K31" s="97">
        <v>130705</v>
      </c>
      <c r="L31" s="22">
        <f t="shared" si="9"/>
        <v>17373</v>
      </c>
      <c r="M31" s="110">
        <v>2494</v>
      </c>
      <c r="N31" s="111"/>
      <c r="O31" s="22"/>
      <c r="P31" s="22"/>
      <c r="Q31" s="21">
        <f t="shared" si="5"/>
        <v>0</v>
      </c>
      <c r="R31" s="50">
        <v>2494</v>
      </c>
      <c r="S31" s="30">
        <v>0</v>
      </c>
      <c r="T31" s="49">
        <f t="shared" si="1"/>
        <v>2494</v>
      </c>
      <c r="U31" s="30">
        <v>0</v>
      </c>
      <c r="V31" s="51">
        <v>17583</v>
      </c>
      <c r="W31" s="49">
        <f t="shared" si="2"/>
        <v>17583</v>
      </c>
      <c r="X31" s="44">
        <v>5.0499999999999972</v>
      </c>
      <c r="Y31" s="30">
        <v>0</v>
      </c>
      <c r="Z31" s="30">
        <v>0</v>
      </c>
      <c r="AA31" s="44">
        <v>23.390000000000015</v>
      </c>
      <c r="AB31" s="248"/>
      <c r="AC31" s="243">
        <f t="shared" si="7"/>
        <v>0</v>
      </c>
      <c r="AD31" s="92"/>
      <c r="AE31" s="7">
        <v>245.94</v>
      </c>
      <c r="AF31" s="7">
        <f t="shared" si="8"/>
        <v>2205.35</v>
      </c>
      <c r="AG31" s="98"/>
      <c r="AH31" s="90"/>
      <c r="AI31" s="98"/>
      <c r="AJ31" s="90"/>
      <c r="AK31" s="90"/>
      <c r="AL31" s="90"/>
      <c r="AM31" s="17">
        <v>2</v>
      </c>
    </row>
    <row r="32" spans="2:43" ht="15" x14ac:dyDescent="0.25">
      <c r="B32" s="8">
        <f t="shared" si="6"/>
        <v>44707</v>
      </c>
      <c r="C32" s="42" t="str">
        <f t="shared" si="3"/>
        <v>Thu</v>
      </c>
      <c r="D32" s="93">
        <v>0.04</v>
      </c>
      <c r="E32" s="93">
        <v>0.67</v>
      </c>
      <c r="F32" s="93">
        <v>0.59</v>
      </c>
      <c r="G32" s="19">
        <f t="shared" si="0"/>
        <v>10855</v>
      </c>
      <c r="H32" s="94">
        <v>0.56299999999999994</v>
      </c>
      <c r="I32" s="95"/>
      <c r="J32" s="22">
        <f t="shared" si="9"/>
        <v>0</v>
      </c>
      <c r="K32" s="97">
        <v>153846</v>
      </c>
      <c r="L32" s="22">
        <f t="shared" si="9"/>
        <v>23141</v>
      </c>
      <c r="M32" s="110">
        <v>185</v>
      </c>
      <c r="N32" s="111"/>
      <c r="O32" s="22"/>
      <c r="P32" s="22"/>
      <c r="Q32" s="21">
        <f t="shared" si="5"/>
        <v>0</v>
      </c>
      <c r="R32" s="50">
        <v>185</v>
      </c>
      <c r="S32" s="30">
        <v>0</v>
      </c>
      <c r="T32" s="49">
        <f t="shared" si="1"/>
        <v>185</v>
      </c>
      <c r="U32" s="30">
        <v>0</v>
      </c>
      <c r="V32" s="51">
        <v>22595</v>
      </c>
      <c r="W32" s="49">
        <f t="shared" si="2"/>
        <v>22595</v>
      </c>
      <c r="X32" s="44">
        <v>0.46999999999999886</v>
      </c>
      <c r="Y32" s="30">
        <v>0</v>
      </c>
      <c r="Z32" s="30">
        <v>0</v>
      </c>
      <c r="AA32" s="44">
        <v>23.659999999999997</v>
      </c>
      <c r="AB32" s="248"/>
      <c r="AC32" s="243">
        <f t="shared" si="7"/>
        <v>0</v>
      </c>
      <c r="AD32" s="92"/>
      <c r="AE32" s="7">
        <v>356.02</v>
      </c>
      <c r="AF32" s="7">
        <f t="shared" si="8"/>
        <v>2561.37</v>
      </c>
      <c r="AG32" s="98"/>
      <c r="AH32" s="90"/>
      <c r="AI32" s="98"/>
      <c r="AJ32" s="90"/>
      <c r="AK32" s="90"/>
      <c r="AL32" s="90"/>
      <c r="AM32" s="17">
        <v>2</v>
      </c>
    </row>
    <row r="33" spans="2:39" ht="15" x14ac:dyDescent="0.25">
      <c r="B33" s="8">
        <f t="shared" si="6"/>
        <v>44708</v>
      </c>
      <c r="C33" s="42" t="str">
        <f t="shared" si="3"/>
        <v>Fri</v>
      </c>
      <c r="D33" s="93">
        <v>0.23</v>
      </c>
      <c r="E33" s="93">
        <v>0.7</v>
      </c>
      <c r="F33" s="93">
        <v>0.35</v>
      </c>
      <c r="G33" s="19">
        <f t="shared" si="0"/>
        <v>10688</v>
      </c>
      <c r="H33" s="94">
        <v>0.55200000000000005</v>
      </c>
      <c r="I33" s="95"/>
      <c r="J33" s="22">
        <f t="shared" si="9"/>
        <v>0</v>
      </c>
      <c r="K33" s="97">
        <v>175232</v>
      </c>
      <c r="L33" s="22">
        <f t="shared" si="9"/>
        <v>21386</v>
      </c>
      <c r="M33" s="110"/>
      <c r="N33" s="111"/>
      <c r="O33" s="22"/>
      <c r="P33" s="22"/>
      <c r="Q33" s="21">
        <f t="shared" si="5"/>
        <v>0</v>
      </c>
      <c r="R33" s="30">
        <v>0</v>
      </c>
      <c r="S33" s="30">
        <v>0</v>
      </c>
      <c r="T33" s="49">
        <f t="shared" si="1"/>
        <v>0</v>
      </c>
      <c r="U33" s="30">
        <v>0</v>
      </c>
      <c r="V33" s="51">
        <v>21326</v>
      </c>
      <c r="W33" s="49">
        <f t="shared" si="2"/>
        <v>21326</v>
      </c>
      <c r="X33" s="30">
        <v>0</v>
      </c>
      <c r="Y33" s="30">
        <v>0</v>
      </c>
      <c r="Z33" s="30">
        <v>0</v>
      </c>
      <c r="AA33" s="44">
        <v>23.939999999999998</v>
      </c>
      <c r="AB33" s="248"/>
      <c r="AC33" s="243">
        <f t="shared" si="7"/>
        <v>0</v>
      </c>
      <c r="AD33" s="92"/>
      <c r="AE33" s="7">
        <v>304.02999999999997</v>
      </c>
      <c r="AF33" s="7">
        <f t="shared" si="8"/>
        <v>2865.3999999999996</v>
      </c>
      <c r="AG33" s="98"/>
      <c r="AH33" s="90"/>
      <c r="AI33" s="98"/>
      <c r="AJ33" s="90"/>
      <c r="AK33" s="90"/>
      <c r="AL33" s="90"/>
      <c r="AM33" s="17">
        <v>2</v>
      </c>
    </row>
    <row r="34" spans="2:39" ht="15" x14ac:dyDescent="0.25">
      <c r="B34" s="8">
        <f t="shared" si="6"/>
        <v>44709</v>
      </c>
      <c r="C34" s="42" t="str">
        <f t="shared" si="3"/>
        <v>Sat</v>
      </c>
      <c r="D34" s="93">
        <v>0.4</v>
      </c>
      <c r="E34" s="93">
        <v>1.0007999999999999</v>
      </c>
      <c r="F34" s="93">
        <v>0.98070000000000002</v>
      </c>
      <c r="G34" s="19">
        <f t="shared" si="0"/>
        <v>19885.524999999998</v>
      </c>
      <c r="H34" s="94">
        <v>0.55000000000000004</v>
      </c>
      <c r="I34" s="95"/>
      <c r="J34" s="22">
        <f t="shared" si="9"/>
        <v>0</v>
      </c>
      <c r="K34" s="97">
        <v>208869</v>
      </c>
      <c r="L34" s="22">
        <f t="shared" si="9"/>
        <v>33637</v>
      </c>
      <c r="M34" s="110"/>
      <c r="N34" s="111"/>
      <c r="O34" s="22"/>
      <c r="P34" s="22"/>
      <c r="Q34" s="21">
        <f t="shared" si="5"/>
        <v>0</v>
      </c>
      <c r="R34" s="30">
        <v>0</v>
      </c>
      <c r="S34" s="30">
        <v>0</v>
      </c>
      <c r="T34" s="49">
        <f t="shared" si="1"/>
        <v>0</v>
      </c>
      <c r="U34" s="30">
        <v>0</v>
      </c>
      <c r="V34" s="51">
        <v>28677</v>
      </c>
      <c r="W34" s="49">
        <f t="shared" si="2"/>
        <v>28677</v>
      </c>
      <c r="X34" s="30">
        <v>0</v>
      </c>
      <c r="Y34" s="30">
        <v>0</v>
      </c>
      <c r="Z34" s="30">
        <v>0</v>
      </c>
      <c r="AA34" s="44">
        <v>23.199999999999989</v>
      </c>
      <c r="AB34" s="248"/>
      <c r="AC34" s="243">
        <f t="shared" si="7"/>
        <v>0</v>
      </c>
      <c r="AD34" s="92"/>
      <c r="AE34" s="7">
        <v>40.79</v>
      </c>
      <c r="AF34" s="7">
        <f t="shared" si="8"/>
        <v>2906.1899999999996</v>
      </c>
      <c r="AG34" s="98"/>
      <c r="AH34" s="90"/>
      <c r="AI34" s="98"/>
      <c r="AJ34" s="90"/>
      <c r="AK34" s="90"/>
      <c r="AL34" s="90"/>
      <c r="AM34" s="17">
        <v>2</v>
      </c>
    </row>
    <row r="35" spans="2:39" ht="15" x14ac:dyDescent="0.25">
      <c r="B35" s="8">
        <f t="shared" si="6"/>
        <v>44710</v>
      </c>
      <c r="C35" s="42" t="str">
        <f t="shared" si="3"/>
        <v>Sun</v>
      </c>
      <c r="D35" s="93">
        <v>0.46</v>
      </c>
      <c r="E35" s="93">
        <v>0.53</v>
      </c>
      <c r="F35" s="93">
        <v>0.36</v>
      </c>
      <c r="G35" s="19">
        <f t="shared" si="0"/>
        <v>11272.5</v>
      </c>
      <c r="H35" s="94">
        <v>0.56699999999999995</v>
      </c>
      <c r="I35" s="95"/>
      <c r="J35" s="22">
        <f t="shared" si="9"/>
        <v>0</v>
      </c>
      <c r="K35" s="97">
        <v>208869</v>
      </c>
      <c r="L35" s="22">
        <f t="shared" si="9"/>
        <v>0</v>
      </c>
      <c r="M35" s="110"/>
      <c r="N35" s="111"/>
      <c r="O35" s="22"/>
      <c r="P35" s="22"/>
      <c r="Q35" s="21"/>
      <c r="R35" s="30">
        <v>0</v>
      </c>
      <c r="S35" s="30">
        <v>0</v>
      </c>
      <c r="T35" s="49">
        <f t="shared" si="1"/>
        <v>0</v>
      </c>
      <c r="U35" s="30">
        <v>0</v>
      </c>
      <c r="V35" s="51">
        <v>6155</v>
      </c>
      <c r="W35" s="49">
        <f t="shared" si="2"/>
        <v>6155</v>
      </c>
      <c r="X35" s="30">
        <v>0</v>
      </c>
      <c r="Y35" s="30">
        <v>0</v>
      </c>
      <c r="Z35" s="30">
        <v>0</v>
      </c>
      <c r="AA35" s="44">
        <v>9.6200000000000045</v>
      </c>
      <c r="AB35" s="248"/>
      <c r="AC35" s="243">
        <f t="shared" si="7"/>
        <v>0</v>
      </c>
      <c r="AD35" s="92"/>
      <c r="AE35" s="7">
        <v>0</v>
      </c>
      <c r="AF35" s="7">
        <f t="shared" si="8"/>
        <v>2906.1899999999996</v>
      </c>
      <c r="AG35" s="98"/>
      <c r="AH35" s="90"/>
      <c r="AI35" s="98"/>
      <c r="AJ35" s="90"/>
      <c r="AK35" s="90"/>
      <c r="AL35" s="90"/>
      <c r="AM35" s="17" t="s">
        <v>47</v>
      </c>
    </row>
    <row r="36" spans="2:39" ht="15" x14ac:dyDescent="0.25">
      <c r="B36" s="8">
        <f t="shared" si="6"/>
        <v>44711</v>
      </c>
      <c r="C36" s="42" t="str">
        <f t="shared" si="3"/>
        <v>Mon</v>
      </c>
      <c r="D36" s="93">
        <v>0.56999999999999995</v>
      </c>
      <c r="E36" s="93">
        <v>1</v>
      </c>
      <c r="F36" s="93">
        <v>1</v>
      </c>
      <c r="G36" s="19">
        <f t="shared" si="0"/>
        <v>21459.5</v>
      </c>
      <c r="H36" s="96">
        <v>0.55900000000000005</v>
      </c>
      <c r="I36" s="95"/>
      <c r="J36" s="22">
        <f t="shared" si="9"/>
        <v>0</v>
      </c>
      <c r="K36" s="97">
        <v>231339</v>
      </c>
      <c r="L36" s="22">
        <f t="shared" si="9"/>
        <v>22470</v>
      </c>
      <c r="M36" s="110"/>
      <c r="N36" s="111"/>
      <c r="O36" s="22"/>
      <c r="P36" s="22"/>
      <c r="Q36" s="21">
        <f t="shared" si="5"/>
        <v>0</v>
      </c>
      <c r="R36" s="30">
        <v>0</v>
      </c>
      <c r="S36" s="30">
        <v>0</v>
      </c>
      <c r="T36" s="49">
        <f t="shared" si="1"/>
        <v>0</v>
      </c>
      <c r="U36" s="30">
        <v>0</v>
      </c>
      <c r="V36" s="51">
        <v>21110</v>
      </c>
      <c r="W36" s="49">
        <f t="shared" si="2"/>
        <v>21110</v>
      </c>
      <c r="X36" s="30">
        <v>0</v>
      </c>
      <c r="Y36" s="30">
        <v>0</v>
      </c>
      <c r="Z36" s="30">
        <v>0</v>
      </c>
      <c r="AA36" s="44">
        <v>20.389999999999986</v>
      </c>
      <c r="AB36" s="248"/>
      <c r="AC36" s="243">
        <f t="shared" si="7"/>
        <v>0</v>
      </c>
      <c r="AD36" s="92"/>
      <c r="AE36" s="7">
        <v>147.38</v>
      </c>
      <c r="AF36" s="7">
        <f t="shared" si="8"/>
        <v>3053.5699999999997</v>
      </c>
      <c r="AG36" s="98"/>
      <c r="AH36" s="90"/>
      <c r="AI36" s="98"/>
      <c r="AJ36" s="90"/>
      <c r="AK36" s="90"/>
      <c r="AL36" s="90"/>
      <c r="AM36" s="17">
        <v>2</v>
      </c>
    </row>
    <row r="37" spans="2:39" x14ac:dyDescent="0.25">
      <c r="B37" s="8">
        <f t="shared" si="6"/>
        <v>44712</v>
      </c>
      <c r="C37" s="42" t="str">
        <f t="shared" si="3"/>
        <v>Tue</v>
      </c>
      <c r="D37" s="93">
        <v>0.4</v>
      </c>
      <c r="E37" s="93">
        <v>0.24</v>
      </c>
      <c r="F37" s="93">
        <v>0</v>
      </c>
      <c r="G37" s="19">
        <f t="shared" si="0"/>
        <v>5344</v>
      </c>
      <c r="H37" s="96">
        <v>0.56499999999999995</v>
      </c>
      <c r="I37" s="95"/>
      <c r="J37" s="22">
        <f t="shared" si="9"/>
        <v>0</v>
      </c>
      <c r="K37" s="97">
        <v>234643</v>
      </c>
      <c r="L37" s="22">
        <f t="shared" si="9"/>
        <v>3304</v>
      </c>
      <c r="M37" s="110"/>
      <c r="N37" s="111">
        <v>3860</v>
      </c>
      <c r="O37" s="22"/>
      <c r="P37" s="22"/>
      <c r="Q37" s="21">
        <f t="shared" si="5"/>
        <v>0</v>
      </c>
      <c r="R37" s="30">
        <v>0</v>
      </c>
      <c r="S37" s="51">
        <v>3860</v>
      </c>
      <c r="T37" s="49">
        <f t="shared" si="1"/>
        <v>3860</v>
      </c>
      <c r="U37" s="30">
        <v>0</v>
      </c>
      <c r="V37" s="77">
        <v>4664</v>
      </c>
      <c r="W37" s="49">
        <f t="shared" si="2"/>
        <v>4664</v>
      </c>
      <c r="X37" s="30">
        <v>0</v>
      </c>
      <c r="Y37" s="30">
        <v>0</v>
      </c>
      <c r="Z37" s="44">
        <v>10.17999999999995</v>
      </c>
      <c r="AA37" s="44">
        <v>7.6000000000000227</v>
      </c>
      <c r="AB37" s="247"/>
      <c r="AC37" s="243">
        <f t="shared" si="7"/>
        <v>0</v>
      </c>
      <c r="AD37" s="92"/>
      <c r="AE37" s="7">
        <v>286.60000000000002</v>
      </c>
      <c r="AF37" s="7">
        <f t="shared" si="8"/>
        <v>3340.1699999999996</v>
      </c>
      <c r="AG37" s="98"/>
      <c r="AH37" s="90"/>
      <c r="AI37" s="98"/>
      <c r="AJ37" s="90"/>
      <c r="AK37" s="90"/>
      <c r="AL37" s="90"/>
      <c r="AM37" s="17">
        <v>2</v>
      </c>
    </row>
    <row r="38" spans="2:39" x14ac:dyDescent="0.25">
      <c r="B38" s="14" t="s">
        <v>48</v>
      </c>
      <c r="C38" s="14"/>
      <c r="D38" s="69">
        <f>AVERAGE(D7:D37)</f>
        <v>0.34428571428571431</v>
      </c>
      <c r="E38" s="69"/>
      <c r="F38" s="69">
        <f>AVERAGE(F7:F37)</f>
        <v>0.46672857142857138</v>
      </c>
      <c r="G38" s="65">
        <f>AVERAGE(G7:G37)</f>
        <v>5584.0220967741934</v>
      </c>
      <c r="H38" s="69">
        <f>AVERAGE(H7:H37)</f>
        <v>0.55678571428571433</v>
      </c>
      <c r="I38" s="14"/>
      <c r="J38" s="65">
        <f>SUMIFS(J7:J37,J7:J37,"&gt;0")</f>
        <v>0</v>
      </c>
      <c r="K38" s="67"/>
      <c r="L38" s="65">
        <f>SUMIFS(L7:L37,L7:L37,"&gt;0")</f>
        <v>234643</v>
      </c>
      <c r="M38" s="67"/>
      <c r="N38" s="67"/>
      <c r="O38" s="65">
        <f>SUM(O7:O37)</f>
        <v>0</v>
      </c>
      <c r="P38" s="67"/>
      <c r="Q38" s="65">
        <f>SUMIFS(Q7:Q37,Q7:Q37,"&gt;0")</f>
        <v>0</v>
      </c>
      <c r="R38" s="65">
        <f t="shared" ref="R38:AE38" si="10">SUM(R7:R37)</f>
        <v>2945</v>
      </c>
      <c r="S38" s="65">
        <f t="shared" si="10"/>
        <v>3860</v>
      </c>
      <c r="T38" s="65">
        <f t="shared" si="10"/>
        <v>6805</v>
      </c>
      <c r="U38" s="65"/>
      <c r="V38" s="65"/>
      <c r="W38" s="137">
        <f>SUM(W7:W37)</f>
        <v>156609</v>
      </c>
      <c r="X38" s="65">
        <f t="shared" si="10"/>
        <v>6.3900000000000006</v>
      </c>
      <c r="Y38" s="65">
        <f t="shared" si="10"/>
        <v>0</v>
      </c>
      <c r="Z38" s="65">
        <f t="shared" si="10"/>
        <v>10.17999999999995</v>
      </c>
      <c r="AA38" s="65">
        <f t="shared" si="10"/>
        <v>182.01</v>
      </c>
      <c r="AB38" s="99">
        <f>SUM(AB7:AB37)</f>
        <v>0</v>
      </c>
      <c r="AC38" s="11"/>
      <c r="AD38" s="66" t="e">
        <f>AVERAGE(AD7:AD37)</f>
        <v>#DIV/0!</v>
      </c>
      <c r="AE38" s="65">
        <f t="shared" si="10"/>
        <v>3340.1699999999996</v>
      </c>
      <c r="AF38" s="68"/>
      <c r="AG38" s="66"/>
      <c r="AH38" s="65">
        <f>SUM(AH7:AH37)</f>
        <v>0</v>
      </c>
      <c r="AI38" s="99"/>
      <c r="AJ38" s="65">
        <f>SUM(AJ7:AJ37)</f>
        <v>0</v>
      </c>
      <c r="AK38" s="65"/>
      <c r="AL38" s="65"/>
      <c r="AM38" s="5"/>
    </row>
    <row r="39" spans="2:39" x14ac:dyDescent="0.25">
      <c r="L39" s="72"/>
      <c r="Q39" s="63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236"/>
      <c r="AC39" s="63"/>
      <c r="AE39" s="63"/>
      <c r="AF39" s="63"/>
      <c r="AJ39" s="63"/>
      <c r="AK39" s="63"/>
      <c r="AL39" s="63"/>
    </row>
    <row r="40" spans="2:39" x14ac:dyDescent="0.25">
      <c r="G40" s="81"/>
      <c r="K40" s="88"/>
      <c r="L40" s="87"/>
      <c r="O40" s="89"/>
      <c r="Q40" s="91"/>
      <c r="AB40" s="237"/>
      <c r="AD40" s="85"/>
      <c r="AE40" s="74"/>
      <c r="AG40" s="85"/>
      <c r="AH40" s="85"/>
      <c r="AI40" s="85"/>
      <c r="AJ40" s="73"/>
      <c r="AK40" s="73"/>
      <c r="AL40" s="73"/>
    </row>
    <row r="41" spans="2:39" x14ac:dyDescent="0.25">
      <c r="C41" s="16"/>
      <c r="L41" s="80"/>
      <c r="P41" s="88"/>
      <c r="AD41" s="86"/>
      <c r="AG41" s="86"/>
      <c r="AH41" s="86"/>
      <c r="AI41" s="86"/>
      <c r="AJ41" s="73"/>
      <c r="AK41" s="73"/>
      <c r="AL41" s="73"/>
    </row>
    <row r="42" spans="2:39" x14ac:dyDescent="0.25">
      <c r="AJ42" s="63"/>
      <c r="AK42" s="63"/>
      <c r="AL42" s="63"/>
    </row>
  </sheetData>
  <mergeCells count="25">
    <mergeCell ref="AK5:AL5"/>
    <mergeCell ref="AI5:AJ5"/>
    <mergeCell ref="B3:AA3"/>
    <mergeCell ref="U4:W4"/>
    <mergeCell ref="AB5:AC5"/>
    <mergeCell ref="AE3:AF3"/>
    <mergeCell ref="AE4:AF4"/>
    <mergeCell ref="AB4:AD4"/>
    <mergeCell ref="AB3:AD3"/>
    <mergeCell ref="AM3:AM6"/>
    <mergeCell ref="B4:B6"/>
    <mergeCell ref="C4:C6"/>
    <mergeCell ref="D4:G4"/>
    <mergeCell ref="I4:L4"/>
    <mergeCell ref="M4:O4"/>
    <mergeCell ref="P4:Q5"/>
    <mergeCell ref="R4:T4"/>
    <mergeCell ref="X4:Y4"/>
    <mergeCell ref="Z4:AA4"/>
    <mergeCell ref="I5:J5"/>
    <mergeCell ref="K5:L5"/>
    <mergeCell ref="M5:N5"/>
    <mergeCell ref="AE5:AF5"/>
    <mergeCell ref="AG3:AL4"/>
    <mergeCell ref="AG5:AH5"/>
  </mergeCells>
  <pageMargins left="0" right="0" top="0.35433070866141736" bottom="0" header="0.31496062992125984" footer="0.31496062992125984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U41"/>
  <sheetViews>
    <sheetView showGridLines="0" zoomScale="70" zoomScaleNormal="70" workbookViewId="0">
      <pane xSplit="3" ySplit="6" topLeftCell="F16" activePane="bottomRight" state="frozen"/>
      <selection pane="topRight" activeCell="B41" sqref="B41:E42"/>
      <selection pane="bottomLeft" activeCell="B41" sqref="B41:E42"/>
      <selection pane="bottomRight" activeCell="B41" sqref="B41:E42"/>
    </sheetView>
  </sheetViews>
  <sheetFormatPr defaultColWidth="9.109375" defaultRowHeight="13.8" x14ac:dyDescent="0.25"/>
  <cols>
    <col min="1" max="1" width="4.5546875" style="1" customWidth="1"/>
    <col min="2" max="2" width="22.5546875" style="2" customWidth="1"/>
    <col min="3" max="3" width="10.44140625" style="2" bestFit="1" customWidth="1"/>
    <col min="4" max="5" width="10.44140625" style="2" customWidth="1"/>
    <col min="6" max="6" width="10" style="2" customWidth="1"/>
    <col min="7" max="7" width="11" style="2" customWidth="1"/>
    <col min="8" max="8" width="11.44140625" style="2" customWidth="1"/>
    <col min="9" max="9" width="11.5546875" style="2" customWidth="1"/>
    <col min="10" max="12" width="11.109375" style="2" customWidth="1"/>
    <col min="13" max="13" width="12.44140625" style="2" customWidth="1"/>
    <col min="14" max="14" width="11.5546875" style="2" customWidth="1"/>
    <col min="15" max="15" width="11.5546875" style="1" customWidth="1"/>
    <col min="16" max="16" width="13.44140625" style="1" customWidth="1"/>
    <col min="17" max="17" width="10.88671875" style="1" bestFit="1" customWidth="1"/>
    <col min="18" max="18" width="10.88671875" style="1" customWidth="1"/>
    <col min="19" max="19" width="11.44140625" style="1" customWidth="1"/>
    <col min="20" max="20" width="11.5546875" style="1" customWidth="1"/>
    <col min="21" max="21" width="11.88671875" style="1" customWidth="1"/>
    <col min="22" max="22" width="11.44140625" style="3" customWidth="1"/>
    <col min="23" max="23" width="11.109375" style="3" customWidth="1"/>
    <col min="24" max="24" width="12.44140625" style="3" bestFit="1" customWidth="1"/>
    <col min="25" max="27" width="12.44140625" style="3" customWidth="1"/>
    <col min="28" max="28" width="11.5546875" style="3" customWidth="1"/>
    <col min="29" max="29" width="11.109375" style="3" customWidth="1"/>
    <col min="30" max="30" width="11" style="3" customWidth="1"/>
    <col min="31" max="31" width="11.44140625" style="3" customWidth="1"/>
    <col min="32" max="32" width="11.5546875" style="234" customWidth="1"/>
    <col min="33" max="33" width="11.5546875" style="1" customWidth="1"/>
    <col min="34" max="34" width="11.5546875" style="2" customWidth="1"/>
    <col min="35" max="36" width="13.5546875" style="1" customWidth="1"/>
    <col min="37" max="38" width="11.5546875" style="2" customWidth="1"/>
    <col min="39" max="39" width="12.88671875" style="2" customWidth="1"/>
    <col min="40" max="42" width="12.88671875" style="1" customWidth="1"/>
    <col min="43" max="43" width="38" style="1" bestFit="1" customWidth="1"/>
    <col min="44" max="44" width="9.109375" style="1"/>
    <col min="45" max="45" width="10.88671875" style="1" bestFit="1" customWidth="1"/>
    <col min="46" max="46" width="12.88671875" style="1" bestFit="1" customWidth="1"/>
    <col min="47" max="16384" width="9.109375" style="1"/>
  </cols>
  <sheetData>
    <row r="2" spans="2:47" x14ac:dyDescent="0.25">
      <c r="B2" s="4" t="s">
        <v>0</v>
      </c>
    </row>
    <row r="3" spans="2:47" ht="27" customHeight="1" x14ac:dyDescent="0.25">
      <c r="B3" s="479" t="s">
        <v>1</v>
      </c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  <c r="AA3" s="480"/>
      <c r="AB3" s="480"/>
      <c r="AC3" s="480"/>
      <c r="AD3" s="480"/>
      <c r="AE3" s="481"/>
      <c r="AF3" s="490" t="s">
        <v>2</v>
      </c>
      <c r="AG3" s="491"/>
      <c r="AH3" s="492"/>
      <c r="AI3" s="485" t="s">
        <v>3</v>
      </c>
      <c r="AJ3" s="486"/>
      <c r="AK3" s="465" t="s">
        <v>4</v>
      </c>
      <c r="AL3" s="473"/>
      <c r="AM3" s="473"/>
      <c r="AN3" s="473"/>
      <c r="AO3" s="473"/>
      <c r="AP3" s="473"/>
      <c r="AQ3" s="457" t="s">
        <v>5</v>
      </c>
    </row>
    <row r="4" spans="2:47" ht="16.5" customHeight="1" x14ac:dyDescent="0.25">
      <c r="B4" s="460" t="s">
        <v>6</v>
      </c>
      <c r="C4" s="460" t="s">
        <v>7</v>
      </c>
      <c r="D4" s="461" t="s">
        <v>8</v>
      </c>
      <c r="E4" s="462"/>
      <c r="F4" s="462"/>
      <c r="G4" s="463"/>
      <c r="H4" s="54" t="s">
        <v>9</v>
      </c>
      <c r="I4" s="464" t="s">
        <v>10</v>
      </c>
      <c r="J4" s="464"/>
      <c r="K4" s="464"/>
      <c r="L4" s="464"/>
      <c r="M4" s="464"/>
      <c r="N4" s="464"/>
      <c r="O4" s="464"/>
      <c r="P4" s="464"/>
      <c r="Q4" s="464" t="s">
        <v>11</v>
      </c>
      <c r="R4" s="464"/>
      <c r="S4" s="464"/>
      <c r="T4" s="465" t="s">
        <v>12</v>
      </c>
      <c r="U4" s="466"/>
      <c r="V4" s="469" t="s">
        <v>13</v>
      </c>
      <c r="W4" s="470"/>
      <c r="X4" s="471"/>
      <c r="Y4" s="482" t="s">
        <v>14</v>
      </c>
      <c r="Z4" s="483"/>
      <c r="AA4" s="484"/>
      <c r="AB4" s="461" t="s">
        <v>15</v>
      </c>
      <c r="AC4" s="463"/>
      <c r="AD4" s="461" t="s">
        <v>16</v>
      </c>
      <c r="AE4" s="463"/>
      <c r="AF4" s="487" t="s">
        <v>17</v>
      </c>
      <c r="AG4" s="488"/>
      <c r="AH4" s="489"/>
      <c r="AI4" s="477" t="s">
        <v>17</v>
      </c>
      <c r="AJ4" s="478"/>
      <c r="AK4" s="467"/>
      <c r="AL4" s="474"/>
      <c r="AM4" s="474"/>
      <c r="AN4" s="474"/>
      <c r="AO4" s="474"/>
      <c r="AP4" s="474"/>
      <c r="AQ4" s="458"/>
    </row>
    <row r="5" spans="2:47" ht="52.5" customHeight="1" x14ac:dyDescent="0.25">
      <c r="B5" s="460"/>
      <c r="C5" s="460"/>
      <c r="D5" s="41" t="s">
        <v>18</v>
      </c>
      <c r="E5" s="41" t="s">
        <v>19</v>
      </c>
      <c r="F5" s="41" t="s">
        <v>20</v>
      </c>
      <c r="G5" s="41" t="s">
        <v>21</v>
      </c>
      <c r="H5" s="43" t="s">
        <v>22</v>
      </c>
      <c r="I5" s="472" t="s">
        <v>49</v>
      </c>
      <c r="J5" s="472"/>
      <c r="K5" s="472" t="s">
        <v>50</v>
      </c>
      <c r="L5" s="472"/>
      <c r="M5" s="472" t="s">
        <v>51</v>
      </c>
      <c r="N5" s="472"/>
      <c r="O5" s="472" t="s">
        <v>52</v>
      </c>
      <c r="P5" s="472"/>
      <c r="Q5" s="460" t="s">
        <v>25</v>
      </c>
      <c r="R5" s="460"/>
      <c r="S5" s="43" t="s">
        <v>26</v>
      </c>
      <c r="T5" s="467"/>
      <c r="U5" s="468"/>
      <c r="V5" s="82" t="s">
        <v>27</v>
      </c>
      <c r="W5" s="82" t="s">
        <v>24</v>
      </c>
      <c r="X5" s="82" t="s">
        <v>21</v>
      </c>
      <c r="Y5" s="34" t="s">
        <v>27</v>
      </c>
      <c r="Z5" s="34" t="s">
        <v>24</v>
      </c>
      <c r="AA5" s="36" t="s">
        <v>21</v>
      </c>
      <c r="AB5" s="82" t="s">
        <v>27</v>
      </c>
      <c r="AC5" s="82" t="s">
        <v>24</v>
      </c>
      <c r="AD5" s="82" t="s">
        <v>27</v>
      </c>
      <c r="AE5" s="82" t="s">
        <v>24</v>
      </c>
      <c r="AF5" s="472" t="s">
        <v>28</v>
      </c>
      <c r="AG5" s="472"/>
      <c r="AH5" s="45" t="s">
        <v>29</v>
      </c>
      <c r="AI5" s="472" t="s">
        <v>28</v>
      </c>
      <c r="AJ5" s="472"/>
      <c r="AK5" s="475" t="s">
        <v>30</v>
      </c>
      <c r="AL5" s="476"/>
      <c r="AM5" s="475" t="s">
        <v>31</v>
      </c>
      <c r="AN5" s="476"/>
      <c r="AO5" s="477" t="s">
        <v>32</v>
      </c>
      <c r="AP5" s="478"/>
      <c r="AQ5" s="458"/>
    </row>
    <row r="6" spans="2:47" ht="14.4" x14ac:dyDescent="0.3">
      <c r="B6" s="460"/>
      <c r="C6" s="460"/>
      <c r="D6" s="83">
        <v>8350</v>
      </c>
      <c r="E6" s="83">
        <v>8350</v>
      </c>
      <c r="F6" s="83">
        <v>8350</v>
      </c>
      <c r="G6" s="83">
        <f>D6+F6</f>
        <v>16700</v>
      </c>
      <c r="H6" s="56" t="s">
        <v>33</v>
      </c>
      <c r="I6" s="17" t="s">
        <v>34</v>
      </c>
      <c r="J6" s="17" t="s">
        <v>35</v>
      </c>
      <c r="K6" s="17" t="s">
        <v>34</v>
      </c>
      <c r="L6" s="17" t="s">
        <v>35</v>
      </c>
      <c r="M6" s="17" t="s">
        <v>34</v>
      </c>
      <c r="N6" s="124" t="s">
        <v>53</v>
      </c>
      <c r="O6" s="17" t="s">
        <v>34</v>
      </c>
      <c r="P6" s="124" t="s">
        <v>53</v>
      </c>
      <c r="Q6" s="40" t="s">
        <v>36</v>
      </c>
      <c r="R6" s="40" t="s">
        <v>37</v>
      </c>
      <c r="S6" s="41" t="s">
        <v>38</v>
      </c>
      <c r="T6" s="17" t="s">
        <v>34</v>
      </c>
      <c r="U6" s="17" t="s">
        <v>35</v>
      </c>
      <c r="V6" s="82" t="s">
        <v>39</v>
      </c>
      <c r="W6" s="82" t="s">
        <v>39</v>
      </c>
      <c r="X6" s="82" t="s">
        <v>39</v>
      </c>
      <c r="Y6" s="82"/>
      <c r="Z6" s="82"/>
      <c r="AA6" s="82"/>
      <c r="AB6" s="41" t="s">
        <v>40</v>
      </c>
      <c r="AC6" s="41" t="s">
        <v>40</v>
      </c>
      <c r="AD6" s="41" t="s">
        <v>40</v>
      </c>
      <c r="AE6" s="41" t="s">
        <v>40</v>
      </c>
      <c r="AF6" s="235" t="s">
        <v>41</v>
      </c>
      <c r="AG6" s="78" t="s">
        <v>42</v>
      </c>
      <c r="AH6" s="9" t="s">
        <v>43</v>
      </c>
      <c r="AI6" s="17" t="s">
        <v>41</v>
      </c>
      <c r="AJ6" s="78" t="s">
        <v>42</v>
      </c>
      <c r="AK6" s="9" t="s">
        <v>34</v>
      </c>
      <c r="AL6" s="9" t="s">
        <v>44</v>
      </c>
      <c r="AM6" s="9" t="s">
        <v>34</v>
      </c>
      <c r="AN6" s="9" t="s">
        <v>44</v>
      </c>
      <c r="AO6" s="9" t="s">
        <v>34</v>
      </c>
      <c r="AP6" s="9" t="s">
        <v>44</v>
      </c>
      <c r="AQ6" s="459"/>
    </row>
    <row r="7" spans="2:47" x14ac:dyDescent="0.25">
      <c r="B7" s="8">
        <v>44713</v>
      </c>
      <c r="C7" s="42" t="str">
        <f>TEXT(B7,"ddd")</f>
        <v>Wed</v>
      </c>
      <c r="D7" s="112">
        <v>0.85</v>
      </c>
      <c r="E7" s="112">
        <v>0.65</v>
      </c>
      <c r="F7" s="112">
        <v>0.41</v>
      </c>
      <c r="G7" s="113">
        <f t="shared" ref="G7:G36" si="0">SUMPRODUCT($D$6:$F$6,D7:F7)</f>
        <v>15948.5</v>
      </c>
      <c r="H7" s="114">
        <v>0.55400000000000005</v>
      </c>
      <c r="I7" s="95"/>
      <c r="J7" s="22">
        <f>I7-0</f>
        <v>0</v>
      </c>
      <c r="K7" s="95"/>
      <c r="L7" s="22">
        <f>K7-0</f>
        <v>0</v>
      </c>
      <c r="M7" s="131"/>
      <c r="N7" s="125"/>
      <c r="O7" s="126">
        <v>254773</v>
      </c>
      <c r="P7" s="127">
        <f>O7-234643</f>
        <v>20130</v>
      </c>
      <c r="Q7" s="23"/>
      <c r="R7" s="23"/>
      <c r="S7" s="22"/>
      <c r="T7" s="22"/>
      <c r="U7" s="21">
        <f>T7-0</f>
        <v>0</v>
      </c>
      <c r="V7" s="50"/>
      <c r="W7" s="51">
        <v>1023</v>
      </c>
      <c r="X7" s="49">
        <f t="shared" ref="X7:X36" si="1">SUM(V7:W7)</f>
        <v>1023</v>
      </c>
      <c r="Y7" s="50"/>
      <c r="Z7" s="51">
        <v>19447</v>
      </c>
      <c r="AA7" s="49">
        <f t="shared" ref="AA7:AA36" si="2">SUM(Y7:Z7)</f>
        <v>19447</v>
      </c>
      <c r="AB7" s="44"/>
      <c r="AC7" s="44"/>
      <c r="AD7" s="44">
        <v>1.4400000000000546</v>
      </c>
      <c r="AE7" s="44">
        <v>19.740000000000009</v>
      </c>
      <c r="AF7" s="247"/>
      <c r="AG7" s="243">
        <f>AF7</f>
        <v>0</v>
      </c>
      <c r="AH7" s="92"/>
      <c r="AI7" s="7">
        <v>316.11</v>
      </c>
      <c r="AJ7" s="7">
        <f>AI7</f>
        <v>316.11</v>
      </c>
      <c r="AK7" s="75"/>
      <c r="AL7" s="90"/>
      <c r="AM7" s="98"/>
      <c r="AN7" s="90"/>
      <c r="AO7" s="90"/>
      <c r="AP7" s="90"/>
      <c r="AQ7" s="17">
        <v>2</v>
      </c>
      <c r="AS7" s="79"/>
      <c r="AT7" s="74"/>
      <c r="AU7" s="74"/>
    </row>
    <row r="8" spans="2:47" x14ac:dyDescent="0.25">
      <c r="B8" s="8">
        <f>B7+1</f>
        <v>44714</v>
      </c>
      <c r="C8" s="42" t="str">
        <f t="shared" ref="C8:C36" si="3">TEXT(B8,"ddd")</f>
        <v>Thu</v>
      </c>
      <c r="D8" s="112">
        <v>0.84</v>
      </c>
      <c r="E8" s="112">
        <v>0.7</v>
      </c>
      <c r="F8" s="112">
        <v>0.56000000000000005</v>
      </c>
      <c r="G8" s="113">
        <f t="shared" si="0"/>
        <v>17535</v>
      </c>
      <c r="H8" s="115">
        <v>0.55700000000000005</v>
      </c>
      <c r="I8" s="95"/>
      <c r="J8" s="22">
        <f t="shared" ref="J8:J36" si="4">I8-I7</f>
        <v>0</v>
      </c>
      <c r="K8" s="95"/>
      <c r="L8" s="22">
        <f t="shared" ref="L8:L36" si="5">K8-K7</f>
        <v>0</v>
      </c>
      <c r="M8" s="132"/>
      <c r="N8" s="22"/>
      <c r="O8" s="128">
        <v>276874</v>
      </c>
      <c r="P8" s="127">
        <f>O8-O7</f>
        <v>22101</v>
      </c>
      <c r="Q8" s="26"/>
      <c r="R8" s="26"/>
      <c r="S8" s="22"/>
      <c r="T8" s="22"/>
      <c r="U8" s="21">
        <f t="shared" ref="U8:U36" si="6">T8-T7</f>
        <v>0</v>
      </c>
      <c r="V8" s="50"/>
      <c r="W8" s="51"/>
      <c r="X8" s="49">
        <f t="shared" si="1"/>
        <v>0</v>
      </c>
      <c r="Y8" s="50"/>
      <c r="Z8" s="51">
        <v>21945</v>
      </c>
      <c r="AA8" s="49">
        <f t="shared" si="2"/>
        <v>21945</v>
      </c>
      <c r="AB8" s="44"/>
      <c r="AC8" s="44"/>
      <c r="AD8" s="44"/>
      <c r="AE8" s="44">
        <v>18.930000000000007</v>
      </c>
      <c r="AF8" s="247"/>
      <c r="AG8" s="243">
        <f>AF8+AG7</f>
        <v>0</v>
      </c>
      <c r="AH8" s="92"/>
      <c r="AI8" s="7">
        <v>268.31</v>
      </c>
      <c r="AJ8" s="7">
        <f>AI8+AJ7</f>
        <v>584.42000000000007</v>
      </c>
      <c r="AK8" s="75"/>
      <c r="AL8" s="90"/>
      <c r="AM8" s="98"/>
      <c r="AN8" s="90"/>
      <c r="AO8" s="90"/>
      <c r="AP8" s="90"/>
      <c r="AQ8" s="17">
        <v>2</v>
      </c>
      <c r="AS8" s="79"/>
      <c r="AT8" s="74"/>
      <c r="AU8" s="74"/>
    </row>
    <row r="9" spans="2:47" x14ac:dyDescent="0.25">
      <c r="B9" s="8">
        <f>B8+1</f>
        <v>44715</v>
      </c>
      <c r="C9" s="42" t="str">
        <f t="shared" si="3"/>
        <v>Fri</v>
      </c>
      <c r="D9" s="112">
        <v>1</v>
      </c>
      <c r="E9" s="112">
        <v>0.74</v>
      </c>
      <c r="F9" s="112">
        <v>0.57999999999999996</v>
      </c>
      <c r="G9" s="113">
        <f t="shared" si="0"/>
        <v>19372</v>
      </c>
      <c r="H9" s="116">
        <v>0.56100000000000005</v>
      </c>
      <c r="I9" s="95"/>
      <c r="J9" s="22">
        <f t="shared" si="4"/>
        <v>0</v>
      </c>
      <c r="K9" s="95"/>
      <c r="L9" s="22">
        <f t="shared" si="5"/>
        <v>0</v>
      </c>
      <c r="M9" s="132"/>
      <c r="N9" s="22"/>
      <c r="O9" s="128">
        <v>313193</v>
      </c>
      <c r="P9" s="127">
        <f t="shared" ref="P9:P36" si="7">O9-O8</f>
        <v>36319</v>
      </c>
      <c r="Q9" s="26"/>
      <c r="R9" s="26"/>
      <c r="S9" s="22"/>
      <c r="T9" s="22"/>
      <c r="U9" s="21">
        <f t="shared" si="6"/>
        <v>0</v>
      </c>
      <c r="V9" s="50"/>
      <c r="W9" s="51"/>
      <c r="X9" s="49">
        <f t="shared" si="1"/>
        <v>0</v>
      </c>
      <c r="Y9" s="50"/>
      <c r="Z9" s="51">
        <v>28446</v>
      </c>
      <c r="AA9" s="49">
        <f t="shared" si="2"/>
        <v>28446</v>
      </c>
      <c r="AB9" s="44"/>
      <c r="AC9" s="44"/>
      <c r="AD9" s="44"/>
      <c r="AE9" s="44">
        <v>22.810000000000002</v>
      </c>
      <c r="AF9" s="247"/>
      <c r="AG9" s="243">
        <f>AF9+AG8</f>
        <v>0</v>
      </c>
      <c r="AH9" s="92"/>
      <c r="AI9" s="7">
        <v>223.24</v>
      </c>
      <c r="AJ9" s="7">
        <f>AI9+AJ8</f>
        <v>807.66000000000008</v>
      </c>
      <c r="AK9" s="75"/>
      <c r="AL9" s="90"/>
      <c r="AM9" s="98"/>
      <c r="AN9" s="90"/>
      <c r="AO9" s="90"/>
      <c r="AP9" s="90"/>
      <c r="AQ9" s="17">
        <v>2</v>
      </c>
      <c r="AS9" s="79"/>
      <c r="AT9" s="74"/>
      <c r="AU9" s="74"/>
    </row>
    <row r="10" spans="2:47" x14ac:dyDescent="0.25">
      <c r="B10" s="8">
        <f t="shared" ref="B10:B36" si="8">B9+1</f>
        <v>44716</v>
      </c>
      <c r="C10" s="42" t="str">
        <f t="shared" si="3"/>
        <v>Sat</v>
      </c>
      <c r="D10" s="112">
        <v>0.56000000000000005</v>
      </c>
      <c r="E10" s="112">
        <v>0.39</v>
      </c>
      <c r="F10" s="112">
        <v>0.01</v>
      </c>
      <c r="G10" s="113">
        <f t="shared" si="0"/>
        <v>8016</v>
      </c>
      <c r="H10" s="116">
        <v>0.55800000000000005</v>
      </c>
      <c r="I10" s="95"/>
      <c r="J10" s="22">
        <f t="shared" si="4"/>
        <v>0</v>
      </c>
      <c r="K10" s="95"/>
      <c r="L10" s="22">
        <f t="shared" si="5"/>
        <v>0</v>
      </c>
      <c r="M10" s="132"/>
      <c r="N10" s="22"/>
      <c r="O10" s="128">
        <v>336441</v>
      </c>
      <c r="P10" s="127">
        <f t="shared" si="7"/>
        <v>23248</v>
      </c>
      <c r="Q10" s="26"/>
      <c r="R10" s="26"/>
      <c r="S10" s="22"/>
      <c r="T10" s="22"/>
      <c r="U10" s="21">
        <f t="shared" si="6"/>
        <v>0</v>
      </c>
      <c r="V10" s="50"/>
      <c r="W10" s="51"/>
      <c r="X10" s="49">
        <f t="shared" si="1"/>
        <v>0</v>
      </c>
      <c r="Y10" s="50"/>
      <c r="Z10" s="51">
        <v>31147</v>
      </c>
      <c r="AA10" s="49">
        <f t="shared" si="2"/>
        <v>31147</v>
      </c>
      <c r="AB10" s="44"/>
      <c r="AC10" s="44"/>
      <c r="AD10" s="44"/>
      <c r="AE10" s="44">
        <v>22.319999999999993</v>
      </c>
      <c r="AF10" s="247"/>
      <c r="AG10" s="243">
        <f>AF10+AG9</f>
        <v>0</v>
      </c>
      <c r="AH10" s="92"/>
      <c r="AI10" s="7">
        <v>228.65</v>
      </c>
      <c r="AJ10" s="7">
        <f>AI10+AJ9</f>
        <v>1036.3100000000002</v>
      </c>
      <c r="AK10" s="75"/>
      <c r="AL10" s="90"/>
      <c r="AM10" s="98"/>
      <c r="AN10" s="90"/>
      <c r="AO10" s="90"/>
      <c r="AP10" s="90"/>
      <c r="AQ10" s="17">
        <v>2</v>
      </c>
      <c r="AS10" s="79"/>
      <c r="AT10" s="74"/>
      <c r="AU10" s="74"/>
    </row>
    <row r="11" spans="2:47" x14ac:dyDescent="0.25">
      <c r="B11" s="8">
        <f t="shared" si="8"/>
        <v>44717</v>
      </c>
      <c r="C11" s="42" t="str">
        <f t="shared" si="3"/>
        <v>Sun</v>
      </c>
      <c r="D11" s="112">
        <v>0.06</v>
      </c>
      <c r="E11" s="112">
        <v>0.27</v>
      </c>
      <c r="F11" s="112">
        <v>0</v>
      </c>
      <c r="G11" s="113">
        <f t="shared" si="0"/>
        <v>2755.5</v>
      </c>
      <c r="H11" s="116">
        <v>0.55800000000000005</v>
      </c>
      <c r="I11" s="95"/>
      <c r="J11" s="22">
        <f t="shared" si="4"/>
        <v>0</v>
      </c>
      <c r="K11" s="95"/>
      <c r="L11" s="22">
        <f t="shared" si="5"/>
        <v>0</v>
      </c>
      <c r="M11" s="132"/>
      <c r="N11" s="22"/>
      <c r="O11" s="128">
        <v>342988</v>
      </c>
      <c r="P11" s="127">
        <f t="shared" si="7"/>
        <v>6547</v>
      </c>
      <c r="Q11" s="26"/>
      <c r="R11" s="26"/>
      <c r="S11" s="22"/>
      <c r="T11" s="22"/>
      <c r="U11" s="21">
        <f t="shared" si="6"/>
        <v>0</v>
      </c>
      <c r="V11" s="50"/>
      <c r="W11" s="51"/>
      <c r="X11" s="49">
        <f t="shared" si="1"/>
        <v>0</v>
      </c>
      <c r="Y11" s="50"/>
      <c r="Z11" s="51">
        <v>7008</v>
      </c>
      <c r="AA11" s="49">
        <f t="shared" si="2"/>
        <v>7008</v>
      </c>
      <c r="AB11" s="44"/>
      <c r="AC11" s="44"/>
      <c r="AD11" s="44"/>
      <c r="AE11" s="44">
        <v>8.1299999999999955</v>
      </c>
      <c r="AF11" s="247"/>
      <c r="AG11" s="243">
        <f t="shared" ref="AG11:AG36" si="9">AF11+AG10</f>
        <v>0</v>
      </c>
      <c r="AH11" s="92"/>
      <c r="AI11" s="7">
        <v>0</v>
      </c>
      <c r="AJ11" s="7">
        <f t="shared" ref="AJ11:AJ36" si="10">AI11+AJ10</f>
        <v>1036.3100000000002</v>
      </c>
      <c r="AK11" s="75"/>
      <c r="AL11" s="90"/>
      <c r="AM11" s="98"/>
      <c r="AN11" s="90"/>
      <c r="AO11" s="90"/>
      <c r="AP11" s="90"/>
      <c r="AQ11" s="17" t="s">
        <v>54</v>
      </c>
      <c r="AS11" s="79"/>
      <c r="AT11" s="74"/>
      <c r="AU11" s="74"/>
    </row>
    <row r="12" spans="2:47" x14ac:dyDescent="0.25">
      <c r="B12" s="8">
        <f t="shared" si="8"/>
        <v>44718</v>
      </c>
      <c r="C12" s="42" t="str">
        <f t="shared" si="3"/>
        <v>Mon</v>
      </c>
      <c r="D12" s="112">
        <v>0.25</v>
      </c>
      <c r="E12" s="112">
        <v>1</v>
      </c>
      <c r="F12" s="112">
        <v>0.28999999999999998</v>
      </c>
      <c r="G12" s="113">
        <f t="shared" si="0"/>
        <v>12859</v>
      </c>
      <c r="H12" s="116">
        <v>0.56699999999999995</v>
      </c>
      <c r="I12" s="95"/>
      <c r="J12" s="22">
        <f t="shared" si="4"/>
        <v>0</v>
      </c>
      <c r="K12" s="95"/>
      <c r="L12" s="22">
        <f t="shared" si="5"/>
        <v>0</v>
      </c>
      <c r="M12" s="132"/>
      <c r="N12" s="22"/>
      <c r="O12" s="128">
        <v>363921</v>
      </c>
      <c r="P12" s="127">
        <f t="shared" si="7"/>
        <v>20933</v>
      </c>
      <c r="Q12" s="26"/>
      <c r="R12" s="26"/>
      <c r="S12" s="22"/>
      <c r="T12" s="22"/>
      <c r="U12" s="21">
        <f t="shared" si="6"/>
        <v>0</v>
      </c>
      <c r="V12" s="50"/>
      <c r="W12" s="51"/>
      <c r="X12" s="49">
        <f t="shared" si="1"/>
        <v>0</v>
      </c>
      <c r="Y12" s="50"/>
      <c r="Z12" s="51">
        <v>20084</v>
      </c>
      <c r="AA12" s="49">
        <f t="shared" si="2"/>
        <v>20084</v>
      </c>
      <c r="AB12" s="44"/>
      <c r="AC12" s="44"/>
      <c r="AD12" s="44"/>
      <c r="AE12" s="44">
        <v>22.45999999999998</v>
      </c>
      <c r="AF12" s="247"/>
      <c r="AG12" s="243">
        <f t="shared" si="9"/>
        <v>0</v>
      </c>
      <c r="AH12" s="92"/>
      <c r="AI12" s="7">
        <v>286.92</v>
      </c>
      <c r="AJ12" s="7">
        <f t="shared" si="10"/>
        <v>1323.2300000000002</v>
      </c>
      <c r="AK12" s="75"/>
      <c r="AL12" s="90"/>
      <c r="AM12" s="98"/>
      <c r="AN12" s="90"/>
      <c r="AO12" s="90"/>
      <c r="AP12" s="90"/>
      <c r="AQ12" s="17">
        <v>2</v>
      </c>
      <c r="AS12" s="79"/>
      <c r="AT12" s="74"/>
      <c r="AU12" s="74"/>
    </row>
    <row r="13" spans="2:47" x14ac:dyDescent="0.25">
      <c r="B13" s="8">
        <f t="shared" si="8"/>
        <v>44719</v>
      </c>
      <c r="C13" s="42" t="str">
        <f t="shared" si="3"/>
        <v>Tue</v>
      </c>
      <c r="D13" s="112">
        <v>0.53</v>
      </c>
      <c r="E13" s="112">
        <v>0.6</v>
      </c>
      <c r="F13" s="112">
        <v>0</v>
      </c>
      <c r="G13" s="113">
        <f t="shared" si="0"/>
        <v>9435.5</v>
      </c>
      <c r="H13" s="116">
        <v>0.56799999999999995</v>
      </c>
      <c r="I13" s="95"/>
      <c r="J13" s="22">
        <f t="shared" si="4"/>
        <v>0</v>
      </c>
      <c r="K13" s="95"/>
      <c r="L13" s="22">
        <f t="shared" si="5"/>
        <v>0</v>
      </c>
      <c r="M13" s="132"/>
      <c r="N13" s="22"/>
      <c r="O13" s="128">
        <v>386162</v>
      </c>
      <c r="P13" s="127">
        <f t="shared" si="7"/>
        <v>22241</v>
      </c>
      <c r="Q13" s="26"/>
      <c r="R13" s="26"/>
      <c r="S13" s="22"/>
      <c r="T13" s="22"/>
      <c r="U13" s="21">
        <f t="shared" si="6"/>
        <v>0</v>
      </c>
      <c r="V13" s="100"/>
      <c r="W13" s="51"/>
      <c r="X13" s="49">
        <f t="shared" si="1"/>
        <v>0</v>
      </c>
      <c r="Y13" s="100"/>
      <c r="Z13" s="51">
        <v>21273</v>
      </c>
      <c r="AA13" s="49">
        <f t="shared" si="2"/>
        <v>21273</v>
      </c>
      <c r="AB13" s="44"/>
      <c r="AC13" s="44"/>
      <c r="AD13" s="44"/>
      <c r="AE13" s="44">
        <v>23.870000000000005</v>
      </c>
      <c r="AF13" s="247"/>
      <c r="AG13" s="243">
        <f t="shared" si="9"/>
        <v>0</v>
      </c>
      <c r="AH13" s="92"/>
      <c r="AI13" s="7">
        <v>449.12</v>
      </c>
      <c r="AJ13" s="7">
        <f t="shared" si="10"/>
        <v>1772.3500000000004</v>
      </c>
      <c r="AK13" s="75"/>
      <c r="AL13" s="90"/>
      <c r="AM13" s="98"/>
      <c r="AN13" s="90"/>
      <c r="AO13" s="90"/>
      <c r="AP13" s="90"/>
      <c r="AQ13" s="17">
        <v>2</v>
      </c>
      <c r="AS13" s="79"/>
      <c r="AT13" s="74"/>
      <c r="AU13" s="74"/>
    </row>
    <row r="14" spans="2:47" x14ac:dyDescent="0.25">
      <c r="B14" s="8">
        <f t="shared" si="8"/>
        <v>44720</v>
      </c>
      <c r="C14" s="42" t="str">
        <f t="shared" si="3"/>
        <v>Wed</v>
      </c>
      <c r="D14" s="112">
        <v>0.42</v>
      </c>
      <c r="E14" s="112">
        <v>0.44</v>
      </c>
      <c r="F14" s="112">
        <v>0.86</v>
      </c>
      <c r="G14" s="113">
        <f t="shared" si="0"/>
        <v>14362</v>
      </c>
      <c r="H14" s="116">
        <v>0.56200000000000006</v>
      </c>
      <c r="I14" s="95"/>
      <c r="J14" s="22">
        <f t="shared" si="4"/>
        <v>0</v>
      </c>
      <c r="K14" s="95"/>
      <c r="L14" s="22">
        <f t="shared" si="5"/>
        <v>0</v>
      </c>
      <c r="M14" s="132"/>
      <c r="N14" s="22"/>
      <c r="O14" s="128">
        <v>414353</v>
      </c>
      <c r="P14" s="127">
        <f t="shared" si="7"/>
        <v>28191</v>
      </c>
      <c r="Q14" s="26"/>
      <c r="R14" s="26"/>
      <c r="S14" s="22"/>
      <c r="T14" s="22"/>
      <c r="U14" s="21">
        <f t="shared" si="6"/>
        <v>0</v>
      </c>
      <c r="V14" s="101"/>
      <c r="W14" s="51"/>
      <c r="X14" s="49">
        <f t="shared" si="1"/>
        <v>0</v>
      </c>
      <c r="Y14" s="101"/>
      <c r="Z14" s="51">
        <v>27690</v>
      </c>
      <c r="AA14" s="49">
        <f t="shared" si="2"/>
        <v>27690</v>
      </c>
      <c r="AB14" s="44"/>
      <c r="AC14" s="44"/>
      <c r="AD14" s="44"/>
      <c r="AE14" s="44">
        <v>23.79000000000002</v>
      </c>
      <c r="AF14" s="247"/>
      <c r="AG14" s="243">
        <f t="shared" si="9"/>
        <v>0</v>
      </c>
      <c r="AH14" s="92"/>
      <c r="AI14" s="7">
        <v>331.83</v>
      </c>
      <c r="AJ14" s="7">
        <f t="shared" si="10"/>
        <v>2104.1800000000003</v>
      </c>
      <c r="AK14" s="75"/>
      <c r="AL14" s="90"/>
      <c r="AM14" s="98"/>
      <c r="AN14" s="90"/>
      <c r="AO14" s="90"/>
      <c r="AP14" s="90"/>
      <c r="AQ14" s="17">
        <v>2</v>
      </c>
      <c r="AS14" s="79"/>
      <c r="AT14" s="74"/>
      <c r="AU14" s="74"/>
    </row>
    <row r="15" spans="2:47" x14ac:dyDescent="0.25">
      <c r="B15" s="8">
        <f t="shared" si="8"/>
        <v>44721</v>
      </c>
      <c r="C15" s="42" t="str">
        <f t="shared" si="3"/>
        <v>Thu</v>
      </c>
      <c r="D15" s="112">
        <v>0.75</v>
      </c>
      <c r="E15" s="112">
        <v>0.74</v>
      </c>
      <c r="F15" s="112">
        <v>0.98</v>
      </c>
      <c r="G15" s="113">
        <f t="shared" si="0"/>
        <v>20624.5</v>
      </c>
      <c r="H15" s="116">
        <v>0.55600000000000005</v>
      </c>
      <c r="I15" s="95"/>
      <c r="J15" s="22">
        <f t="shared" si="4"/>
        <v>0</v>
      </c>
      <c r="K15" s="95"/>
      <c r="L15" s="22">
        <f t="shared" si="5"/>
        <v>0</v>
      </c>
      <c r="M15" s="132"/>
      <c r="N15" s="22"/>
      <c r="O15" s="128">
        <v>452345</v>
      </c>
      <c r="P15" s="127">
        <f t="shared" si="7"/>
        <v>37992</v>
      </c>
      <c r="Q15" s="25"/>
      <c r="R15" s="25"/>
      <c r="S15" s="22"/>
      <c r="T15" s="22"/>
      <c r="U15" s="21">
        <f t="shared" si="6"/>
        <v>0</v>
      </c>
      <c r="V15" s="101"/>
      <c r="W15" s="51"/>
      <c r="X15" s="49">
        <f t="shared" si="1"/>
        <v>0</v>
      </c>
      <c r="Y15" s="101"/>
      <c r="Z15" s="51">
        <v>38408</v>
      </c>
      <c r="AA15" s="49">
        <f t="shared" si="2"/>
        <v>38408</v>
      </c>
      <c r="AB15" s="44"/>
      <c r="AC15" s="44"/>
      <c r="AD15" s="44"/>
      <c r="AE15" s="44">
        <v>23.430000000000007</v>
      </c>
      <c r="AF15" s="247"/>
      <c r="AG15" s="243">
        <f t="shared" si="9"/>
        <v>0</v>
      </c>
      <c r="AH15" s="92"/>
      <c r="AI15" s="7">
        <v>339.07</v>
      </c>
      <c r="AJ15" s="7">
        <f t="shared" si="10"/>
        <v>2443.2500000000005</v>
      </c>
      <c r="AK15" s="75"/>
      <c r="AL15" s="90"/>
      <c r="AM15" s="98"/>
      <c r="AN15" s="90"/>
      <c r="AO15" s="90"/>
      <c r="AP15" s="90"/>
      <c r="AQ15" s="17">
        <v>2</v>
      </c>
      <c r="AS15" s="79"/>
      <c r="AT15" s="74"/>
      <c r="AU15" s="74"/>
    </row>
    <row r="16" spans="2:47" x14ac:dyDescent="0.25">
      <c r="B16" s="8">
        <f t="shared" si="8"/>
        <v>44722</v>
      </c>
      <c r="C16" s="42" t="str">
        <f t="shared" si="3"/>
        <v>Fri</v>
      </c>
      <c r="D16" s="112">
        <v>0.37</v>
      </c>
      <c r="E16" s="112">
        <v>0.48</v>
      </c>
      <c r="F16" s="112">
        <v>0.62</v>
      </c>
      <c r="G16" s="113">
        <f t="shared" si="0"/>
        <v>12274.5</v>
      </c>
      <c r="H16" s="116">
        <v>0.56399999999999995</v>
      </c>
      <c r="I16" s="95"/>
      <c r="J16" s="22">
        <f t="shared" si="4"/>
        <v>0</v>
      </c>
      <c r="K16" s="95"/>
      <c r="L16" s="22">
        <f t="shared" si="5"/>
        <v>0</v>
      </c>
      <c r="M16" s="132"/>
      <c r="N16" s="22"/>
      <c r="O16" s="128">
        <v>482221</v>
      </c>
      <c r="P16" s="127">
        <f t="shared" si="7"/>
        <v>29876</v>
      </c>
      <c r="Q16" s="23"/>
      <c r="R16" s="23"/>
      <c r="S16" s="22"/>
      <c r="T16" s="22"/>
      <c r="U16" s="21">
        <f t="shared" si="6"/>
        <v>0</v>
      </c>
      <c r="V16" s="101"/>
      <c r="W16" s="51"/>
      <c r="X16" s="49">
        <f t="shared" si="1"/>
        <v>0</v>
      </c>
      <c r="Y16" s="101"/>
      <c r="Z16" s="51">
        <v>29826</v>
      </c>
      <c r="AA16" s="49">
        <f t="shared" si="2"/>
        <v>29826</v>
      </c>
      <c r="AB16" s="44"/>
      <c r="AC16" s="44"/>
      <c r="AD16" s="44"/>
      <c r="AE16" s="44">
        <v>24.139999999999986</v>
      </c>
      <c r="AF16" s="247"/>
      <c r="AG16" s="243">
        <f t="shared" si="9"/>
        <v>0</v>
      </c>
      <c r="AH16" s="92"/>
      <c r="AI16" s="7">
        <v>304.67</v>
      </c>
      <c r="AJ16" s="7">
        <f t="shared" si="10"/>
        <v>2747.9200000000005</v>
      </c>
      <c r="AK16" s="75"/>
      <c r="AL16" s="90"/>
      <c r="AM16" s="98"/>
      <c r="AN16" s="90"/>
      <c r="AO16" s="90"/>
      <c r="AP16" s="90"/>
      <c r="AQ16" s="17">
        <v>2</v>
      </c>
      <c r="AS16" s="79"/>
      <c r="AT16" s="74"/>
      <c r="AU16" s="74"/>
    </row>
    <row r="17" spans="2:47" x14ac:dyDescent="0.25">
      <c r="B17" s="8">
        <f t="shared" si="8"/>
        <v>44723</v>
      </c>
      <c r="C17" s="42" t="str">
        <f t="shared" si="3"/>
        <v>Sat</v>
      </c>
      <c r="D17" s="112">
        <v>0.42</v>
      </c>
      <c r="E17" s="112">
        <v>0.53</v>
      </c>
      <c r="F17" s="112">
        <v>0.5</v>
      </c>
      <c r="G17" s="113">
        <f t="shared" si="0"/>
        <v>12107.5</v>
      </c>
      <c r="H17" s="116">
        <v>0.57099999999999995</v>
      </c>
      <c r="I17" s="95"/>
      <c r="J17" s="22">
        <f t="shared" si="4"/>
        <v>0</v>
      </c>
      <c r="K17" s="95"/>
      <c r="L17" s="22">
        <f t="shared" si="5"/>
        <v>0</v>
      </c>
      <c r="M17" s="132"/>
      <c r="N17" s="22"/>
      <c r="O17" s="128">
        <v>505566</v>
      </c>
      <c r="P17" s="127">
        <f t="shared" si="7"/>
        <v>23345</v>
      </c>
      <c r="Q17" s="26"/>
      <c r="R17" s="26"/>
      <c r="S17" s="22"/>
      <c r="T17" s="22"/>
      <c r="U17" s="21">
        <f t="shared" si="6"/>
        <v>0</v>
      </c>
      <c r="V17" s="101"/>
      <c r="W17" s="51"/>
      <c r="X17" s="49">
        <f t="shared" si="1"/>
        <v>0</v>
      </c>
      <c r="Y17" s="101"/>
      <c r="Z17" s="51">
        <v>25649</v>
      </c>
      <c r="AA17" s="49">
        <f t="shared" si="2"/>
        <v>25649</v>
      </c>
      <c r="AB17" s="44"/>
      <c r="AC17" s="44"/>
      <c r="AD17" s="44"/>
      <c r="AE17" s="44">
        <v>19.5</v>
      </c>
      <c r="AF17" s="247"/>
      <c r="AG17" s="243">
        <f t="shared" si="9"/>
        <v>0</v>
      </c>
      <c r="AH17" s="92"/>
      <c r="AI17" s="7">
        <v>178.08</v>
      </c>
      <c r="AJ17" s="7">
        <f t="shared" si="10"/>
        <v>2926.0000000000005</v>
      </c>
      <c r="AK17" s="75"/>
      <c r="AL17" s="90"/>
      <c r="AM17" s="98"/>
      <c r="AN17" s="90"/>
      <c r="AO17" s="90"/>
      <c r="AP17" s="90"/>
      <c r="AQ17" s="17">
        <v>1</v>
      </c>
      <c r="AS17" s="79"/>
      <c r="AT17" s="74"/>
      <c r="AU17" s="74"/>
    </row>
    <row r="18" spans="2:47" x14ac:dyDescent="0.25">
      <c r="B18" s="8">
        <f t="shared" si="8"/>
        <v>44724</v>
      </c>
      <c r="C18" s="42" t="str">
        <f t="shared" si="3"/>
        <v>Sun</v>
      </c>
      <c r="D18" s="112">
        <v>0.08</v>
      </c>
      <c r="E18" s="112">
        <v>0.69</v>
      </c>
      <c r="F18" s="112">
        <v>0.47</v>
      </c>
      <c r="G18" s="113">
        <f t="shared" si="0"/>
        <v>10354</v>
      </c>
      <c r="H18" s="116">
        <v>0.57099999999999995</v>
      </c>
      <c r="I18" s="95"/>
      <c r="J18" s="22">
        <f t="shared" si="4"/>
        <v>0</v>
      </c>
      <c r="K18" s="95"/>
      <c r="L18" s="22">
        <f t="shared" si="5"/>
        <v>0</v>
      </c>
      <c r="M18" s="132"/>
      <c r="N18" s="22"/>
      <c r="O18" s="128">
        <v>507310</v>
      </c>
      <c r="P18" s="127">
        <f t="shared" si="7"/>
        <v>1744</v>
      </c>
      <c r="Q18" s="26"/>
      <c r="R18" s="26"/>
      <c r="S18" s="22"/>
      <c r="T18" s="22"/>
      <c r="U18" s="21">
        <f t="shared" si="6"/>
        <v>0</v>
      </c>
      <c r="V18" s="50"/>
      <c r="W18" s="51"/>
      <c r="X18" s="49">
        <f t="shared" si="1"/>
        <v>0</v>
      </c>
      <c r="Y18" s="50"/>
      <c r="Z18" s="51">
        <v>0</v>
      </c>
      <c r="AA18" s="49">
        <f t="shared" si="2"/>
        <v>0</v>
      </c>
      <c r="AB18" s="44"/>
      <c r="AC18" s="44"/>
      <c r="AD18" s="44"/>
      <c r="AE18" s="44">
        <v>0</v>
      </c>
      <c r="AF18" s="244"/>
      <c r="AG18" s="243">
        <f t="shared" si="9"/>
        <v>0</v>
      </c>
      <c r="AH18" s="92"/>
      <c r="AI18" s="7">
        <v>0</v>
      </c>
      <c r="AJ18" s="7">
        <f t="shared" si="10"/>
        <v>2926.0000000000005</v>
      </c>
      <c r="AK18" s="75"/>
      <c r="AL18" s="90"/>
      <c r="AM18" s="98"/>
      <c r="AN18" s="90"/>
      <c r="AO18" s="90"/>
      <c r="AP18" s="90"/>
      <c r="AQ18" s="17" t="s">
        <v>54</v>
      </c>
      <c r="AS18" s="79"/>
      <c r="AT18" s="74"/>
      <c r="AU18" s="74"/>
    </row>
    <row r="19" spans="2:47" x14ac:dyDescent="0.25">
      <c r="B19" s="8">
        <f t="shared" si="8"/>
        <v>44725</v>
      </c>
      <c r="C19" s="42" t="str">
        <f t="shared" si="3"/>
        <v>Mon</v>
      </c>
      <c r="D19" s="112">
        <v>0.84</v>
      </c>
      <c r="E19" s="112">
        <v>0.97</v>
      </c>
      <c r="F19" s="112">
        <v>0.76</v>
      </c>
      <c r="G19" s="113">
        <f t="shared" si="0"/>
        <v>21459.5</v>
      </c>
      <c r="H19" s="116">
        <v>0.56699999999999995</v>
      </c>
      <c r="I19" s="95"/>
      <c r="J19" s="22">
        <f t="shared" si="4"/>
        <v>0</v>
      </c>
      <c r="K19" s="95"/>
      <c r="L19" s="22">
        <f t="shared" si="5"/>
        <v>0</v>
      </c>
      <c r="M19" s="132"/>
      <c r="N19" s="22"/>
      <c r="O19" s="128">
        <v>524854</v>
      </c>
      <c r="P19" s="127">
        <f t="shared" si="7"/>
        <v>17544</v>
      </c>
      <c r="Q19" s="26"/>
      <c r="R19" s="26"/>
      <c r="S19" s="22"/>
      <c r="T19" s="22"/>
      <c r="U19" s="21">
        <f t="shared" si="6"/>
        <v>0</v>
      </c>
      <c r="V19" s="50"/>
      <c r="W19" s="51"/>
      <c r="X19" s="49">
        <f t="shared" si="1"/>
        <v>0</v>
      </c>
      <c r="Y19" s="50"/>
      <c r="Z19" s="51">
        <v>19288</v>
      </c>
      <c r="AA19" s="49">
        <f t="shared" si="2"/>
        <v>19288</v>
      </c>
      <c r="AB19" s="44"/>
      <c r="AC19" s="44"/>
      <c r="AD19" s="44"/>
      <c r="AE19" s="44">
        <v>16.879999999999995</v>
      </c>
      <c r="AF19" s="242"/>
      <c r="AG19" s="243">
        <f t="shared" si="9"/>
        <v>0</v>
      </c>
      <c r="AH19" s="92"/>
      <c r="AI19" s="7">
        <v>136.66</v>
      </c>
      <c r="AJ19" s="7">
        <f t="shared" si="10"/>
        <v>3062.6600000000003</v>
      </c>
      <c r="AK19" s="75"/>
      <c r="AL19" s="90"/>
      <c r="AM19" s="98"/>
      <c r="AN19" s="90"/>
      <c r="AO19" s="90"/>
      <c r="AP19" s="90"/>
      <c r="AQ19" s="17">
        <v>1</v>
      </c>
      <c r="AS19" s="79"/>
      <c r="AT19" s="74"/>
      <c r="AU19" s="74"/>
    </row>
    <row r="20" spans="2:47" x14ac:dyDescent="0.25">
      <c r="B20" s="8">
        <f t="shared" si="8"/>
        <v>44726</v>
      </c>
      <c r="C20" s="42" t="str">
        <f t="shared" si="3"/>
        <v>Tue</v>
      </c>
      <c r="D20" s="112">
        <v>7.0000000000000007E-2</v>
      </c>
      <c r="E20" s="112">
        <v>1</v>
      </c>
      <c r="F20" s="112">
        <v>0.56000000000000005</v>
      </c>
      <c r="G20" s="113">
        <f t="shared" si="0"/>
        <v>13610.5</v>
      </c>
      <c r="H20" s="117">
        <v>0.56499999999999995</v>
      </c>
      <c r="I20" s="95"/>
      <c r="J20" s="22">
        <f t="shared" si="4"/>
        <v>0</v>
      </c>
      <c r="K20" s="95"/>
      <c r="L20" s="22">
        <f t="shared" si="5"/>
        <v>0</v>
      </c>
      <c r="M20" s="132"/>
      <c r="N20" s="22"/>
      <c r="O20" s="128">
        <v>544085</v>
      </c>
      <c r="P20" s="127">
        <f t="shared" si="7"/>
        <v>19231</v>
      </c>
      <c r="Q20" s="26"/>
      <c r="R20" s="26"/>
      <c r="S20" s="22"/>
      <c r="T20" s="22"/>
      <c r="U20" s="21">
        <f t="shared" si="6"/>
        <v>0</v>
      </c>
      <c r="V20" s="50"/>
      <c r="W20" s="51"/>
      <c r="X20" s="49">
        <f t="shared" si="1"/>
        <v>0</v>
      </c>
      <c r="Y20" s="50"/>
      <c r="Z20" s="51">
        <v>17880</v>
      </c>
      <c r="AA20" s="49">
        <f t="shared" si="2"/>
        <v>17880</v>
      </c>
      <c r="AB20" s="44"/>
      <c r="AC20" s="44"/>
      <c r="AD20" s="44"/>
      <c r="AE20" s="44">
        <v>21.600000000000023</v>
      </c>
      <c r="AF20" s="247"/>
      <c r="AG20" s="243">
        <f t="shared" si="9"/>
        <v>0</v>
      </c>
      <c r="AH20" s="92"/>
      <c r="AI20" s="7">
        <v>346.2</v>
      </c>
      <c r="AJ20" s="7">
        <f t="shared" si="10"/>
        <v>3408.86</v>
      </c>
      <c r="AK20" s="75"/>
      <c r="AL20" s="90"/>
      <c r="AM20" s="98"/>
      <c r="AN20" s="90"/>
      <c r="AO20" s="90"/>
      <c r="AP20" s="90"/>
      <c r="AQ20" s="17">
        <v>2</v>
      </c>
      <c r="AS20" s="79"/>
      <c r="AT20" s="74"/>
      <c r="AU20" s="74"/>
    </row>
    <row r="21" spans="2:47" x14ac:dyDescent="0.25">
      <c r="B21" s="8">
        <f t="shared" si="8"/>
        <v>44727</v>
      </c>
      <c r="C21" s="42" t="str">
        <f t="shared" si="3"/>
        <v>Wed</v>
      </c>
      <c r="D21" s="112">
        <v>0.22</v>
      </c>
      <c r="E21" s="112">
        <v>1</v>
      </c>
      <c r="F21" s="112">
        <v>0.52</v>
      </c>
      <c r="G21" s="113">
        <f t="shared" si="0"/>
        <v>14529</v>
      </c>
      <c r="H21" s="117">
        <v>0.55400000000000005</v>
      </c>
      <c r="I21" s="95"/>
      <c r="J21" s="22">
        <f t="shared" si="4"/>
        <v>0</v>
      </c>
      <c r="K21" s="95"/>
      <c r="L21" s="22">
        <f t="shared" si="5"/>
        <v>0</v>
      </c>
      <c r="M21" s="132"/>
      <c r="N21" s="22"/>
      <c r="O21" s="128">
        <v>571791</v>
      </c>
      <c r="P21" s="127">
        <f t="shared" si="7"/>
        <v>27706</v>
      </c>
      <c r="Q21" s="26"/>
      <c r="R21" s="26"/>
      <c r="S21" s="22"/>
      <c r="T21" s="22"/>
      <c r="U21" s="21">
        <f t="shared" si="6"/>
        <v>0</v>
      </c>
      <c r="V21" s="50"/>
      <c r="W21" s="51"/>
      <c r="X21" s="49">
        <f t="shared" si="1"/>
        <v>0</v>
      </c>
      <c r="Y21" s="50"/>
      <c r="Z21" s="51">
        <v>27028</v>
      </c>
      <c r="AA21" s="49">
        <f t="shared" si="2"/>
        <v>27028</v>
      </c>
      <c r="AB21" s="44"/>
      <c r="AC21" s="44"/>
      <c r="AD21" s="44"/>
      <c r="AE21" s="44">
        <v>23.889999999999986</v>
      </c>
      <c r="AF21" s="247"/>
      <c r="AG21" s="243">
        <f t="shared" si="9"/>
        <v>0</v>
      </c>
      <c r="AH21" s="92"/>
      <c r="AI21" s="7">
        <v>364.76</v>
      </c>
      <c r="AJ21" s="7">
        <f t="shared" si="10"/>
        <v>3773.62</v>
      </c>
      <c r="AK21" s="75"/>
      <c r="AL21" s="90"/>
      <c r="AM21" s="98"/>
      <c r="AN21" s="90"/>
      <c r="AO21" s="90"/>
      <c r="AP21" s="90"/>
      <c r="AQ21" s="17">
        <v>2</v>
      </c>
      <c r="AT21" s="74"/>
      <c r="AU21" s="74"/>
    </row>
    <row r="22" spans="2:47" x14ac:dyDescent="0.25">
      <c r="B22" s="8">
        <f t="shared" si="8"/>
        <v>44728</v>
      </c>
      <c r="C22" s="42" t="str">
        <f t="shared" si="3"/>
        <v>Thu</v>
      </c>
      <c r="D22" s="118">
        <v>0.48</v>
      </c>
      <c r="E22" s="118">
        <v>0.83</v>
      </c>
      <c r="F22" s="118">
        <v>0.45</v>
      </c>
      <c r="G22" s="113">
        <f t="shared" si="0"/>
        <v>14696</v>
      </c>
      <c r="H22" s="119">
        <v>0.56100000000000005</v>
      </c>
      <c r="I22" s="95"/>
      <c r="J22" s="22">
        <f t="shared" si="4"/>
        <v>0</v>
      </c>
      <c r="K22" s="95"/>
      <c r="L22" s="22">
        <f t="shared" si="5"/>
        <v>0</v>
      </c>
      <c r="M22" s="132"/>
      <c r="N22" s="22"/>
      <c r="O22" s="128">
        <v>599069</v>
      </c>
      <c r="P22" s="127">
        <f t="shared" si="7"/>
        <v>27278</v>
      </c>
      <c r="Q22" s="26"/>
      <c r="R22" s="26"/>
      <c r="S22" s="22"/>
      <c r="T22" s="22"/>
      <c r="U22" s="21">
        <f t="shared" si="6"/>
        <v>0</v>
      </c>
      <c r="V22" s="50"/>
      <c r="W22" s="51"/>
      <c r="X22" s="49">
        <f t="shared" si="1"/>
        <v>0</v>
      </c>
      <c r="Y22" s="50"/>
      <c r="Z22" s="51">
        <v>28126</v>
      </c>
      <c r="AA22" s="49">
        <f t="shared" si="2"/>
        <v>28126</v>
      </c>
      <c r="AB22" s="44"/>
      <c r="AC22" s="44"/>
      <c r="AD22" s="44"/>
      <c r="AE22" s="44">
        <v>23.789999999999964</v>
      </c>
      <c r="AF22" s="247"/>
      <c r="AG22" s="243">
        <f t="shared" si="9"/>
        <v>0</v>
      </c>
      <c r="AH22" s="92"/>
      <c r="AI22" s="7">
        <v>281.23</v>
      </c>
      <c r="AJ22" s="7">
        <f t="shared" si="10"/>
        <v>4054.85</v>
      </c>
      <c r="AK22" s="75"/>
      <c r="AL22" s="90"/>
      <c r="AM22" s="98"/>
      <c r="AN22" s="90"/>
      <c r="AO22" s="90"/>
      <c r="AP22" s="90"/>
      <c r="AQ22" s="17">
        <v>1</v>
      </c>
      <c r="AT22" s="74"/>
      <c r="AU22" s="74"/>
    </row>
    <row r="23" spans="2:47" x14ac:dyDescent="0.25">
      <c r="B23" s="8">
        <f t="shared" si="8"/>
        <v>44729</v>
      </c>
      <c r="C23" s="42" t="str">
        <f t="shared" si="3"/>
        <v>Fri</v>
      </c>
      <c r="D23" s="120">
        <v>0.66</v>
      </c>
      <c r="E23" s="120">
        <v>0.82</v>
      </c>
      <c r="F23" s="120">
        <v>0.38</v>
      </c>
      <c r="G23" s="113">
        <f t="shared" si="0"/>
        <v>15531</v>
      </c>
      <c r="H23" s="121">
        <v>0.55900000000000005</v>
      </c>
      <c r="I23" s="95"/>
      <c r="J23" s="22">
        <f t="shared" si="4"/>
        <v>0</v>
      </c>
      <c r="K23" s="95"/>
      <c r="L23" s="22">
        <f t="shared" si="5"/>
        <v>0</v>
      </c>
      <c r="M23" s="133"/>
      <c r="N23" s="129"/>
      <c r="O23" s="130">
        <v>623702</v>
      </c>
      <c r="P23" s="127">
        <f t="shared" si="7"/>
        <v>24633</v>
      </c>
      <c r="Q23" s="26"/>
      <c r="R23" s="26"/>
      <c r="S23" s="22"/>
      <c r="T23" s="22"/>
      <c r="U23" s="21">
        <f t="shared" si="6"/>
        <v>0</v>
      </c>
      <c r="V23" s="50">
        <v>290</v>
      </c>
      <c r="W23" s="51">
        <v>324</v>
      </c>
      <c r="X23" s="49">
        <f t="shared" si="1"/>
        <v>614</v>
      </c>
      <c r="Y23" s="50"/>
      <c r="Z23" s="51">
        <v>22655</v>
      </c>
      <c r="AA23" s="49">
        <f t="shared" si="2"/>
        <v>22655</v>
      </c>
      <c r="AB23" s="44">
        <v>0.95000000000000284</v>
      </c>
      <c r="AC23" s="44"/>
      <c r="AD23" s="44">
        <v>1.2200000000000273</v>
      </c>
      <c r="AE23" s="44">
        <v>22.170000000000073</v>
      </c>
      <c r="AF23" s="247"/>
      <c r="AG23" s="243">
        <f t="shared" si="9"/>
        <v>0</v>
      </c>
      <c r="AH23" s="92"/>
      <c r="AI23" s="7">
        <v>378.56</v>
      </c>
      <c r="AJ23" s="7">
        <f t="shared" si="10"/>
        <v>4433.41</v>
      </c>
      <c r="AK23" s="75"/>
      <c r="AL23" s="90"/>
      <c r="AM23" s="98"/>
      <c r="AN23" s="90"/>
      <c r="AO23" s="90"/>
      <c r="AP23" s="90"/>
      <c r="AQ23" s="17">
        <v>2</v>
      </c>
    </row>
    <row r="24" spans="2:47" x14ac:dyDescent="0.25">
      <c r="B24" s="8">
        <f t="shared" si="8"/>
        <v>44730</v>
      </c>
      <c r="C24" s="42" t="str">
        <f t="shared" si="3"/>
        <v>Sat</v>
      </c>
      <c r="D24" s="120">
        <v>0.88</v>
      </c>
      <c r="E24" s="120">
        <v>0.53</v>
      </c>
      <c r="F24" s="120">
        <v>0.49</v>
      </c>
      <c r="G24" s="113">
        <f t="shared" si="0"/>
        <v>15865</v>
      </c>
      <c r="H24" s="121">
        <v>0.55600000000000005</v>
      </c>
      <c r="I24" s="95"/>
      <c r="J24" s="22">
        <f t="shared" si="4"/>
        <v>0</v>
      </c>
      <c r="K24" s="95"/>
      <c r="L24" s="22">
        <f t="shared" si="5"/>
        <v>0</v>
      </c>
      <c r="M24" s="132"/>
      <c r="N24" s="22"/>
      <c r="O24" s="128">
        <v>639167</v>
      </c>
      <c r="P24" s="127">
        <f t="shared" si="7"/>
        <v>15465</v>
      </c>
      <c r="Q24" s="26"/>
      <c r="R24" s="26"/>
      <c r="S24" s="22"/>
      <c r="T24" s="22"/>
      <c r="U24" s="21">
        <f t="shared" si="6"/>
        <v>0</v>
      </c>
      <c r="V24" s="50"/>
      <c r="W24" s="51"/>
      <c r="X24" s="49">
        <f t="shared" si="1"/>
        <v>0</v>
      </c>
      <c r="Y24" s="50"/>
      <c r="Z24" s="51">
        <v>11624</v>
      </c>
      <c r="AA24" s="49">
        <f t="shared" si="2"/>
        <v>11624</v>
      </c>
      <c r="AB24" s="44"/>
      <c r="AC24" s="44"/>
      <c r="AD24" s="44"/>
      <c r="AE24" s="44">
        <v>9.1399999999999864</v>
      </c>
      <c r="AF24" s="247"/>
      <c r="AG24" s="243">
        <f t="shared" si="9"/>
        <v>0</v>
      </c>
      <c r="AH24" s="92"/>
      <c r="AI24" s="7">
        <v>0</v>
      </c>
      <c r="AJ24" s="7">
        <f t="shared" si="10"/>
        <v>4433.41</v>
      </c>
      <c r="AK24" s="75"/>
      <c r="AL24" s="90"/>
      <c r="AM24" s="98"/>
      <c r="AN24" s="90"/>
      <c r="AO24" s="90"/>
      <c r="AP24" s="90"/>
      <c r="AQ24" s="17">
        <v>1</v>
      </c>
      <c r="AS24" s="74"/>
    </row>
    <row r="25" spans="2:47" x14ac:dyDescent="0.25">
      <c r="B25" s="8">
        <f t="shared" si="8"/>
        <v>44731</v>
      </c>
      <c r="C25" s="42" t="str">
        <f t="shared" si="3"/>
        <v>Sun</v>
      </c>
      <c r="D25" s="120">
        <v>0.66</v>
      </c>
      <c r="E25" s="120">
        <v>0.82</v>
      </c>
      <c r="F25" s="120">
        <v>0.38</v>
      </c>
      <c r="G25" s="113">
        <f t="shared" si="0"/>
        <v>15531</v>
      </c>
      <c r="H25" s="121">
        <v>0.56100000000000005</v>
      </c>
      <c r="I25" s="95"/>
      <c r="J25" s="22">
        <f t="shared" si="4"/>
        <v>0</v>
      </c>
      <c r="K25" s="95"/>
      <c r="L25" s="22">
        <f t="shared" si="5"/>
        <v>0</v>
      </c>
      <c r="M25" s="132"/>
      <c r="N25" s="22"/>
      <c r="O25" s="128">
        <v>643523</v>
      </c>
      <c r="P25" s="127">
        <f t="shared" si="7"/>
        <v>4356</v>
      </c>
      <c r="Q25" s="26"/>
      <c r="R25" s="26"/>
      <c r="S25" s="22"/>
      <c r="T25" s="22"/>
      <c r="U25" s="21">
        <f t="shared" si="6"/>
        <v>0</v>
      </c>
      <c r="V25" s="50"/>
      <c r="W25" s="51"/>
      <c r="X25" s="49">
        <f t="shared" si="1"/>
        <v>0</v>
      </c>
      <c r="Y25" s="50"/>
      <c r="Z25" s="51">
        <v>0</v>
      </c>
      <c r="AA25" s="49">
        <f t="shared" si="2"/>
        <v>0</v>
      </c>
      <c r="AB25" s="44"/>
      <c r="AC25" s="44"/>
      <c r="AD25" s="44"/>
      <c r="AE25" s="44">
        <v>0</v>
      </c>
      <c r="AF25" s="251"/>
      <c r="AG25" s="243">
        <f t="shared" si="9"/>
        <v>0</v>
      </c>
      <c r="AH25" s="92"/>
      <c r="AI25" s="7">
        <v>0</v>
      </c>
      <c r="AJ25" s="7">
        <f t="shared" si="10"/>
        <v>4433.41</v>
      </c>
      <c r="AK25" s="75"/>
      <c r="AL25" s="90"/>
      <c r="AM25" s="98"/>
      <c r="AN25" s="90"/>
      <c r="AO25" s="90"/>
      <c r="AP25" s="90"/>
      <c r="AQ25" s="17" t="s">
        <v>54</v>
      </c>
      <c r="AS25" s="74"/>
    </row>
    <row r="26" spans="2:47" x14ac:dyDescent="0.25">
      <c r="B26" s="8">
        <f t="shared" si="8"/>
        <v>44732</v>
      </c>
      <c r="C26" s="42" t="str">
        <f t="shared" si="3"/>
        <v>Mon</v>
      </c>
      <c r="D26" s="120">
        <v>0.48</v>
      </c>
      <c r="E26" s="120">
        <v>0.11</v>
      </c>
      <c r="F26" s="120">
        <v>0.21</v>
      </c>
      <c r="G26" s="113">
        <f t="shared" si="0"/>
        <v>6680</v>
      </c>
      <c r="H26" s="121">
        <v>0.55400000000000005</v>
      </c>
      <c r="I26" s="95"/>
      <c r="J26" s="22">
        <f t="shared" si="4"/>
        <v>0</v>
      </c>
      <c r="K26" s="95"/>
      <c r="L26" s="22">
        <f t="shared" si="5"/>
        <v>0</v>
      </c>
      <c r="M26" s="132"/>
      <c r="N26" s="22"/>
      <c r="O26" s="128">
        <v>645239</v>
      </c>
      <c r="P26" s="127">
        <f t="shared" si="7"/>
        <v>1716</v>
      </c>
      <c r="Q26" s="26"/>
      <c r="R26" s="26"/>
      <c r="S26" s="22"/>
      <c r="T26" s="22"/>
      <c r="U26" s="21">
        <f t="shared" si="6"/>
        <v>0</v>
      </c>
      <c r="V26" s="50"/>
      <c r="W26" s="51"/>
      <c r="X26" s="49">
        <f t="shared" si="1"/>
        <v>0</v>
      </c>
      <c r="Y26" s="50"/>
      <c r="Z26" s="51">
        <v>12976</v>
      </c>
      <c r="AA26" s="49">
        <f t="shared" si="2"/>
        <v>12976</v>
      </c>
      <c r="AB26" s="44"/>
      <c r="AC26" s="44"/>
      <c r="AD26" s="44"/>
      <c r="AE26" s="44">
        <v>11.029999999999973</v>
      </c>
      <c r="AF26" s="252"/>
      <c r="AG26" s="243">
        <f t="shared" si="9"/>
        <v>0</v>
      </c>
      <c r="AH26" s="92"/>
      <c r="AI26" s="7">
        <v>0</v>
      </c>
      <c r="AJ26" s="7">
        <f t="shared" si="10"/>
        <v>4433.41</v>
      </c>
      <c r="AK26" s="98"/>
      <c r="AL26" s="90"/>
      <c r="AM26" s="98"/>
      <c r="AN26" s="90"/>
      <c r="AO26" s="90"/>
      <c r="AP26" s="90"/>
      <c r="AQ26" s="17" t="s">
        <v>54</v>
      </c>
      <c r="AS26" s="74"/>
    </row>
    <row r="27" spans="2:47" x14ac:dyDescent="0.25">
      <c r="B27" s="8">
        <f t="shared" si="8"/>
        <v>44733</v>
      </c>
      <c r="C27" s="42" t="str">
        <f t="shared" si="3"/>
        <v>Tue</v>
      </c>
      <c r="D27" s="120">
        <v>1</v>
      </c>
      <c r="E27" s="120">
        <v>0.24</v>
      </c>
      <c r="F27" s="120">
        <v>0.31</v>
      </c>
      <c r="G27" s="113">
        <f t="shared" si="0"/>
        <v>12942.5</v>
      </c>
      <c r="H27" s="121">
        <v>0.55400000000000005</v>
      </c>
      <c r="I27" s="95"/>
      <c r="J27" s="22">
        <f t="shared" si="4"/>
        <v>0</v>
      </c>
      <c r="K27" s="95"/>
      <c r="L27" s="22">
        <f t="shared" si="5"/>
        <v>0</v>
      </c>
      <c r="M27" s="132"/>
      <c r="N27" s="22"/>
      <c r="O27" s="128">
        <v>651232</v>
      </c>
      <c r="P27" s="127">
        <f t="shared" si="7"/>
        <v>5993</v>
      </c>
      <c r="Q27" s="26"/>
      <c r="R27" s="26"/>
      <c r="S27" s="22"/>
      <c r="T27" s="22"/>
      <c r="U27" s="21">
        <f t="shared" si="6"/>
        <v>0</v>
      </c>
      <c r="V27" s="50"/>
      <c r="W27" s="51"/>
      <c r="X27" s="49">
        <f t="shared" si="1"/>
        <v>0</v>
      </c>
      <c r="Y27" s="50"/>
      <c r="Z27" s="51">
        <v>5396</v>
      </c>
      <c r="AA27" s="49">
        <f t="shared" si="2"/>
        <v>5396</v>
      </c>
      <c r="AB27" s="44"/>
      <c r="AC27" s="44"/>
      <c r="AD27" s="44"/>
      <c r="AE27" s="44">
        <v>6.2000000000000455</v>
      </c>
      <c r="AF27" s="252"/>
      <c r="AG27" s="243">
        <f t="shared" si="9"/>
        <v>0</v>
      </c>
      <c r="AH27" s="92"/>
      <c r="AI27" s="7">
        <v>250.41</v>
      </c>
      <c r="AJ27" s="7">
        <f t="shared" si="10"/>
        <v>4683.82</v>
      </c>
      <c r="AK27" s="98"/>
      <c r="AL27" s="90"/>
      <c r="AM27" s="98"/>
      <c r="AN27" s="90"/>
      <c r="AO27" s="90"/>
      <c r="AP27" s="90"/>
      <c r="AQ27" s="17">
        <v>1</v>
      </c>
      <c r="AS27" s="74"/>
    </row>
    <row r="28" spans="2:47" x14ac:dyDescent="0.25">
      <c r="B28" s="8">
        <f t="shared" si="8"/>
        <v>44734</v>
      </c>
      <c r="C28" s="42" t="str">
        <f t="shared" si="3"/>
        <v>Wed</v>
      </c>
      <c r="D28" s="120">
        <v>1</v>
      </c>
      <c r="E28" s="120">
        <v>0.37</v>
      </c>
      <c r="F28" s="120">
        <v>0.01</v>
      </c>
      <c r="G28" s="113">
        <f t="shared" si="0"/>
        <v>11523</v>
      </c>
      <c r="H28" s="121">
        <v>0.55800000000000005</v>
      </c>
      <c r="I28" s="95"/>
      <c r="J28" s="22">
        <f t="shared" si="4"/>
        <v>0</v>
      </c>
      <c r="K28" s="95"/>
      <c r="L28" s="22">
        <f t="shared" si="5"/>
        <v>0</v>
      </c>
      <c r="M28" s="132"/>
      <c r="N28" s="22"/>
      <c r="O28" s="128">
        <v>660348</v>
      </c>
      <c r="P28" s="127">
        <f t="shared" si="7"/>
        <v>9116</v>
      </c>
      <c r="Q28" s="26"/>
      <c r="R28" s="26"/>
      <c r="S28" s="22"/>
      <c r="T28" s="22"/>
      <c r="U28" s="21">
        <f t="shared" si="6"/>
        <v>0</v>
      </c>
      <c r="V28" s="50"/>
      <c r="W28" s="51"/>
      <c r="X28" s="49">
        <f t="shared" si="1"/>
        <v>0</v>
      </c>
      <c r="Y28" s="50"/>
      <c r="Z28" s="51">
        <v>11209</v>
      </c>
      <c r="AA28" s="49">
        <f t="shared" si="2"/>
        <v>11209</v>
      </c>
      <c r="AB28" s="44"/>
      <c r="AC28" s="44"/>
      <c r="AD28" s="44"/>
      <c r="AE28" s="44">
        <v>14.009999999999991</v>
      </c>
      <c r="AF28" s="247"/>
      <c r="AG28" s="243">
        <f t="shared" si="9"/>
        <v>0</v>
      </c>
      <c r="AH28" s="92"/>
      <c r="AI28" s="7">
        <v>323.97000000000003</v>
      </c>
      <c r="AJ28" s="7">
        <f t="shared" si="10"/>
        <v>5007.79</v>
      </c>
      <c r="AK28" s="98"/>
      <c r="AL28" s="90"/>
      <c r="AM28" s="98"/>
      <c r="AN28" s="90"/>
      <c r="AO28" s="90"/>
      <c r="AP28" s="90"/>
      <c r="AQ28" s="17">
        <v>2</v>
      </c>
      <c r="AS28" s="74"/>
    </row>
    <row r="29" spans="2:47" x14ac:dyDescent="0.25">
      <c r="B29" s="8">
        <f t="shared" si="8"/>
        <v>44735</v>
      </c>
      <c r="C29" s="42" t="str">
        <f t="shared" si="3"/>
        <v>Thu</v>
      </c>
      <c r="D29" s="120">
        <v>0.96</v>
      </c>
      <c r="E29" s="120">
        <v>0.52</v>
      </c>
      <c r="F29" s="120">
        <v>0.44</v>
      </c>
      <c r="G29" s="113">
        <f t="shared" si="0"/>
        <v>16032</v>
      </c>
      <c r="H29" s="121">
        <v>0.56299999999999994</v>
      </c>
      <c r="I29" s="95"/>
      <c r="J29" s="22">
        <f t="shared" si="4"/>
        <v>0</v>
      </c>
      <c r="K29" s="95"/>
      <c r="L29" s="22">
        <f t="shared" si="5"/>
        <v>0</v>
      </c>
      <c r="M29" s="132"/>
      <c r="N29" s="22"/>
      <c r="O29" s="128">
        <v>683457</v>
      </c>
      <c r="P29" s="127">
        <f t="shared" si="7"/>
        <v>23109</v>
      </c>
      <c r="Q29" s="26"/>
      <c r="R29" s="26"/>
      <c r="S29" s="22"/>
      <c r="T29" s="22"/>
      <c r="U29" s="21">
        <f t="shared" si="6"/>
        <v>0</v>
      </c>
      <c r="V29" s="50"/>
      <c r="W29" s="51"/>
      <c r="X29" s="49">
        <f t="shared" si="1"/>
        <v>0</v>
      </c>
      <c r="Y29" s="50"/>
      <c r="Z29" s="51">
        <v>21709</v>
      </c>
      <c r="AA29" s="49">
        <f t="shared" si="2"/>
        <v>21709</v>
      </c>
      <c r="AB29" s="44"/>
      <c r="AC29" s="44"/>
      <c r="AD29" s="44"/>
      <c r="AE29" s="44">
        <v>22.610000000000014</v>
      </c>
      <c r="AF29" s="247"/>
      <c r="AG29" s="243">
        <f t="shared" si="9"/>
        <v>0</v>
      </c>
      <c r="AH29" s="92"/>
      <c r="AI29" s="7">
        <v>296.67</v>
      </c>
      <c r="AJ29" s="7">
        <f t="shared" si="10"/>
        <v>5304.46</v>
      </c>
      <c r="AK29" s="98"/>
      <c r="AL29" s="90"/>
      <c r="AM29" s="98"/>
      <c r="AN29" s="90"/>
      <c r="AO29" s="90"/>
      <c r="AP29" s="90"/>
      <c r="AQ29" s="17">
        <v>2</v>
      </c>
      <c r="AS29" s="74"/>
    </row>
    <row r="30" spans="2:47" x14ac:dyDescent="0.25">
      <c r="B30" s="8">
        <f t="shared" si="8"/>
        <v>44736</v>
      </c>
      <c r="C30" s="42" t="str">
        <f t="shared" si="3"/>
        <v>Fri</v>
      </c>
      <c r="D30" s="120">
        <v>0</v>
      </c>
      <c r="E30" s="120">
        <v>0.81</v>
      </c>
      <c r="F30" s="120">
        <v>0.71</v>
      </c>
      <c r="G30" s="113">
        <f t="shared" si="0"/>
        <v>12692</v>
      </c>
      <c r="H30" s="121">
        <v>0.56299999999999994</v>
      </c>
      <c r="I30" s="95"/>
      <c r="J30" s="22">
        <f t="shared" si="4"/>
        <v>0</v>
      </c>
      <c r="K30" s="95"/>
      <c r="L30" s="22">
        <f t="shared" si="5"/>
        <v>0</v>
      </c>
      <c r="M30" s="132"/>
      <c r="N30" s="22"/>
      <c r="O30" s="128">
        <v>695339</v>
      </c>
      <c r="P30" s="127">
        <f t="shared" si="7"/>
        <v>11882</v>
      </c>
      <c r="Q30" s="26"/>
      <c r="R30" s="26"/>
      <c r="S30" s="22"/>
      <c r="T30" s="22"/>
      <c r="U30" s="21">
        <f t="shared" si="6"/>
        <v>0</v>
      </c>
      <c r="V30" s="50"/>
      <c r="W30" s="51"/>
      <c r="X30" s="49">
        <f t="shared" si="1"/>
        <v>0</v>
      </c>
      <c r="Y30" s="50"/>
      <c r="Z30" s="51">
        <v>10497</v>
      </c>
      <c r="AA30" s="49">
        <f t="shared" si="2"/>
        <v>10497</v>
      </c>
      <c r="AB30" s="44"/>
      <c r="AC30" s="44"/>
      <c r="AD30" s="44"/>
      <c r="AE30" s="44">
        <v>12.989999999999895</v>
      </c>
      <c r="AF30" s="252"/>
      <c r="AG30" s="243">
        <f t="shared" si="9"/>
        <v>0</v>
      </c>
      <c r="AH30" s="92"/>
      <c r="AI30" s="7">
        <v>354.61</v>
      </c>
      <c r="AJ30" s="7">
        <f t="shared" si="10"/>
        <v>5659.07</v>
      </c>
      <c r="AK30" s="98"/>
      <c r="AL30" s="90"/>
      <c r="AM30" s="98"/>
      <c r="AN30" s="90"/>
      <c r="AO30" s="90"/>
      <c r="AP30" s="90"/>
      <c r="AQ30" s="17">
        <v>2</v>
      </c>
    </row>
    <row r="31" spans="2:47" ht="15" x14ac:dyDescent="0.25">
      <c r="B31" s="8">
        <f t="shared" si="8"/>
        <v>44737</v>
      </c>
      <c r="C31" s="42" t="str">
        <f t="shared" si="3"/>
        <v>Sat</v>
      </c>
      <c r="D31" s="118">
        <v>0.37</v>
      </c>
      <c r="E31" s="118">
        <v>0.64</v>
      </c>
      <c r="F31" s="122">
        <v>0.91</v>
      </c>
      <c r="G31" s="113">
        <f>SUMPRODUCT($D$6:$F$6,D31:F31)</f>
        <v>16032</v>
      </c>
      <c r="H31" s="123">
        <v>0.56599999999999995</v>
      </c>
      <c r="I31" s="95"/>
      <c r="J31" s="22">
        <f t="shared" si="4"/>
        <v>0</v>
      </c>
      <c r="K31" s="95"/>
      <c r="L31" s="22">
        <f t="shared" si="5"/>
        <v>0</v>
      </c>
      <c r="M31" s="132"/>
      <c r="N31" s="22"/>
      <c r="O31" s="128">
        <v>720683</v>
      </c>
      <c r="P31" s="127">
        <f t="shared" si="7"/>
        <v>25344</v>
      </c>
      <c r="Q31" s="26"/>
      <c r="R31" s="26"/>
      <c r="S31" s="22"/>
      <c r="T31" s="22"/>
      <c r="U31" s="21">
        <f t="shared" si="6"/>
        <v>0</v>
      </c>
      <c r="V31" s="50"/>
      <c r="W31" s="51"/>
      <c r="X31" s="49">
        <f t="shared" si="1"/>
        <v>0</v>
      </c>
      <c r="Y31" s="50"/>
      <c r="Z31" s="51">
        <v>23662</v>
      </c>
      <c r="AA31" s="49">
        <f t="shared" si="2"/>
        <v>23662</v>
      </c>
      <c r="AB31" s="44"/>
      <c r="AC31" s="44"/>
      <c r="AD31" s="44"/>
      <c r="AE31" s="44">
        <v>23.690000000000055</v>
      </c>
      <c r="AF31" s="248"/>
      <c r="AG31" s="243">
        <f t="shared" si="9"/>
        <v>0</v>
      </c>
      <c r="AH31" s="92"/>
      <c r="AI31" s="7">
        <v>310.86</v>
      </c>
      <c r="AJ31" s="7">
        <f t="shared" si="10"/>
        <v>5969.9299999999994</v>
      </c>
      <c r="AK31" s="98"/>
      <c r="AL31" s="90"/>
      <c r="AM31" s="98"/>
      <c r="AN31" s="90"/>
      <c r="AO31" s="90"/>
      <c r="AP31" s="90"/>
      <c r="AQ31" s="17">
        <v>1</v>
      </c>
    </row>
    <row r="32" spans="2:47" ht="15" x14ac:dyDescent="0.25">
      <c r="B32" s="8">
        <f t="shared" si="8"/>
        <v>44738</v>
      </c>
      <c r="C32" s="42" t="str">
        <f t="shared" si="3"/>
        <v>Sun</v>
      </c>
      <c r="D32" s="118">
        <v>0.28000000000000003</v>
      </c>
      <c r="E32" s="118">
        <v>0.48</v>
      </c>
      <c r="F32" s="122">
        <v>0.63</v>
      </c>
      <c r="G32" s="113">
        <f t="shared" si="0"/>
        <v>11606.5</v>
      </c>
      <c r="H32" s="123">
        <v>0.56599999999999995</v>
      </c>
      <c r="I32" s="95"/>
      <c r="J32" s="22">
        <f t="shared" si="4"/>
        <v>0</v>
      </c>
      <c r="K32" s="95"/>
      <c r="L32" s="22">
        <f t="shared" si="5"/>
        <v>0</v>
      </c>
      <c r="M32" s="132"/>
      <c r="N32" s="22"/>
      <c r="O32" s="128">
        <v>734498</v>
      </c>
      <c r="P32" s="127">
        <f t="shared" si="7"/>
        <v>13815</v>
      </c>
      <c r="Q32" s="26"/>
      <c r="R32" s="26"/>
      <c r="S32" s="22"/>
      <c r="T32" s="22"/>
      <c r="U32" s="21">
        <f t="shared" si="6"/>
        <v>0</v>
      </c>
      <c r="V32" s="50"/>
      <c r="W32" s="51"/>
      <c r="X32" s="49">
        <f t="shared" si="1"/>
        <v>0</v>
      </c>
      <c r="Y32" s="50"/>
      <c r="Z32" s="51">
        <v>16576</v>
      </c>
      <c r="AA32" s="49">
        <f t="shared" si="2"/>
        <v>16576</v>
      </c>
      <c r="AB32" s="44"/>
      <c r="AC32" s="44"/>
      <c r="AD32" s="44"/>
      <c r="AE32" s="44">
        <v>17.220000000000027</v>
      </c>
      <c r="AF32" s="248"/>
      <c r="AG32" s="243">
        <f t="shared" si="9"/>
        <v>0</v>
      </c>
      <c r="AH32" s="92"/>
      <c r="AI32" s="7">
        <v>0</v>
      </c>
      <c r="AJ32" s="7">
        <f t="shared" si="10"/>
        <v>5969.9299999999994</v>
      </c>
      <c r="AK32" s="98"/>
      <c r="AL32" s="90"/>
      <c r="AM32" s="98"/>
      <c r="AN32" s="90"/>
      <c r="AO32" s="90"/>
      <c r="AP32" s="90"/>
      <c r="AQ32" s="17" t="s">
        <v>54</v>
      </c>
    </row>
    <row r="33" spans="2:43" ht="15" x14ac:dyDescent="0.25">
      <c r="B33" s="8">
        <f t="shared" si="8"/>
        <v>44739</v>
      </c>
      <c r="C33" s="42" t="str">
        <f t="shared" si="3"/>
        <v>Mon</v>
      </c>
      <c r="D33" s="118">
        <v>0.18</v>
      </c>
      <c r="E33" s="118">
        <v>0.61</v>
      </c>
      <c r="F33" s="122">
        <v>0.76</v>
      </c>
      <c r="G33" s="113">
        <f t="shared" si="0"/>
        <v>12942.5</v>
      </c>
      <c r="H33" s="123">
        <v>0.56699999999999995</v>
      </c>
      <c r="I33" s="95"/>
      <c r="J33" s="22">
        <f t="shared" si="4"/>
        <v>0</v>
      </c>
      <c r="K33" s="95"/>
      <c r="L33" s="22">
        <f t="shared" si="5"/>
        <v>0</v>
      </c>
      <c r="M33" s="132"/>
      <c r="N33" s="22"/>
      <c r="O33" s="128">
        <v>742078</v>
      </c>
      <c r="P33" s="127">
        <f t="shared" si="7"/>
        <v>7580</v>
      </c>
      <c r="Q33" s="26"/>
      <c r="R33" s="26"/>
      <c r="S33" s="22"/>
      <c r="T33" s="22"/>
      <c r="U33" s="21">
        <f t="shared" si="6"/>
        <v>0</v>
      </c>
      <c r="V33" s="50"/>
      <c r="W33" s="51"/>
      <c r="X33" s="49">
        <f t="shared" si="1"/>
        <v>0</v>
      </c>
      <c r="Y33" s="50"/>
      <c r="Z33" s="51">
        <v>7885</v>
      </c>
      <c r="AA33" s="49">
        <f t="shared" si="2"/>
        <v>7885</v>
      </c>
      <c r="AB33" s="44"/>
      <c r="AC33" s="44"/>
      <c r="AD33" s="44"/>
      <c r="AE33" s="44">
        <v>13.029999999999973</v>
      </c>
      <c r="AF33" s="248"/>
      <c r="AG33" s="243">
        <f t="shared" si="9"/>
        <v>0</v>
      </c>
      <c r="AH33" s="92"/>
      <c r="AI33" s="7">
        <v>0</v>
      </c>
      <c r="AJ33" s="7">
        <f t="shared" si="10"/>
        <v>5969.9299999999994</v>
      </c>
      <c r="AK33" s="98"/>
      <c r="AL33" s="90"/>
      <c r="AM33" s="98"/>
      <c r="AN33" s="90"/>
      <c r="AO33" s="90"/>
      <c r="AP33" s="90"/>
      <c r="AQ33" s="17" t="s">
        <v>54</v>
      </c>
    </row>
    <row r="34" spans="2:43" ht="15" x14ac:dyDescent="0.25">
      <c r="B34" s="8">
        <f t="shared" si="8"/>
        <v>44740</v>
      </c>
      <c r="C34" s="42" t="str">
        <f t="shared" si="3"/>
        <v>Tue</v>
      </c>
      <c r="D34" s="118">
        <v>0.44</v>
      </c>
      <c r="E34" s="118">
        <v>0.94</v>
      </c>
      <c r="F34" s="122">
        <v>0.37</v>
      </c>
      <c r="G34" s="113">
        <f t="shared" si="0"/>
        <v>14612.5</v>
      </c>
      <c r="H34" s="123">
        <v>0.56200000000000006</v>
      </c>
      <c r="I34" s="95"/>
      <c r="J34" s="22">
        <f t="shared" si="4"/>
        <v>0</v>
      </c>
      <c r="K34" s="95"/>
      <c r="L34" s="22">
        <f t="shared" si="5"/>
        <v>0</v>
      </c>
      <c r="M34" s="132"/>
      <c r="N34" s="22"/>
      <c r="O34" s="128">
        <v>762549</v>
      </c>
      <c r="P34" s="127">
        <f t="shared" si="7"/>
        <v>20471</v>
      </c>
      <c r="Q34" s="24"/>
      <c r="R34" s="24"/>
      <c r="S34" s="22"/>
      <c r="T34" s="22"/>
      <c r="U34" s="21">
        <f t="shared" si="6"/>
        <v>0</v>
      </c>
      <c r="V34" s="50">
        <v>3006</v>
      </c>
      <c r="W34" s="51"/>
      <c r="X34" s="49">
        <f t="shared" si="1"/>
        <v>3006</v>
      </c>
      <c r="Y34" s="50"/>
      <c r="Z34" s="51">
        <v>19564</v>
      </c>
      <c r="AA34" s="49">
        <f t="shared" si="2"/>
        <v>19564</v>
      </c>
      <c r="AB34" s="44">
        <v>7.0600000000000023</v>
      </c>
      <c r="AC34" s="44"/>
      <c r="AD34" s="44"/>
      <c r="AE34" s="44">
        <v>20.159999999999968</v>
      </c>
      <c r="AF34" s="248"/>
      <c r="AG34" s="243">
        <f t="shared" si="9"/>
        <v>0</v>
      </c>
      <c r="AH34" s="92"/>
      <c r="AI34" s="7">
        <v>289</v>
      </c>
      <c r="AJ34" s="7">
        <f t="shared" si="10"/>
        <v>6258.9299999999994</v>
      </c>
      <c r="AK34" s="98"/>
      <c r="AL34" s="90"/>
      <c r="AM34" s="98"/>
      <c r="AN34" s="90"/>
      <c r="AO34" s="90"/>
      <c r="AP34" s="90"/>
      <c r="AQ34" s="17">
        <v>2</v>
      </c>
    </row>
    <row r="35" spans="2:43" ht="15" x14ac:dyDescent="0.25">
      <c r="B35" s="8">
        <f t="shared" si="8"/>
        <v>44741</v>
      </c>
      <c r="C35" s="42" t="str">
        <f t="shared" si="3"/>
        <v>Wed</v>
      </c>
      <c r="D35" s="118">
        <v>0.22</v>
      </c>
      <c r="E35" s="118">
        <v>0.2</v>
      </c>
      <c r="F35" s="122">
        <v>0.09</v>
      </c>
      <c r="G35" s="113">
        <f t="shared" si="0"/>
        <v>4258.5</v>
      </c>
      <c r="H35" s="123">
        <v>0.56299999999999994</v>
      </c>
      <c r="I35" s="95"/>
      <c r="J35" s="22">
        <f t="shared" si="4"/>
        <v>0</v>
      </c>
      <c r="K35" s="95"/>
      <c r="L35" s="22">
        <f t="shared" si="5"/>
        <v>0</v>
      </c>
      <c r="M35" s="132"/>
      <c r="N35" s="22"/>
      <c r="O35" s="128">
        <v>770416</v>
      </c>
      <c r="P35" s="127">
        <f t="shared" si="7"/>
        <v>7867</v>
      </c>
      <c r="Q35" s="24"/>
      <c r="R35" s="24"/>
      <c r="S35" s="22"/>
      <c r="T35" s="22"/>
      <c r="U35" s="21"/>
      <c r="V35" s="50">
        <v>210</v>
      </c>
      <c r="W35" s="51"/>
      <c r="X35" s="49">
        <f t="shared" si="1"/>
        <v>210</v>
      </c>
      <c r="Y35" s="50"/>
      <c r="Z35" s="51">
        <v>8775</v>
      </c>
      <c r="AA35" s="49">
        <f t="shared" si="2"/>
        <v>8775</v>
      </c>
      <c r="AB35" s="44">
        <v>0.87000000000000455</v>
      </c>
      <c r="AC35" s="44"/>
      <c r="AD35" s="44"/>
      <c r="AE35" s="44">
        <v>12.050000000000068</v>
      </c>
      <c r="AF35" s="248"/>
      <c r="AG35" s="243">
        <f t="shared" si="9"/>
        <v>0</v>
      </c>
      <c r="AH35" s="92"/>
      <c r="AI35" s="7">
        <v>197.4</v>
      </c>
      <c r="AJ35" s="7">
        <f t="shared" si="10"/>
        <v>6456.329999999999</v>
      </c>
      <c r="AK35" s="98"/>
      <c r="AL35" s="90"/>
      <c r="AM35" s="98"/>
      <c r="AN35" s="90"/>
      <c r="AO35" s="90"/>
      <c r="AP35" s="90"/>
      <c r="AQ35" s="17">
        <v>2</v>
      </c>
    </row>
    <row r="36" spans="2:43" ht="15" x14ac:dyDescent="0.25">
      <c r="B36" s="8">
        <f t="shared" si="8"/>
        <v>44742</v>
      </c>
      <c r="C36" s="42" t="str">
        <f t="shared" si="3"/>
        <v>Thu</v>
      </c>
      <c r="D36" s="118">
        <v>0.53</v>
      </c>
      <c r="E36" s="118">
        <v>0.26</v>
      </c>
      <c r="F36" s="122">
        <v>0.43</v>
      </c>
      <c r="G36" s="113">
        <f t="shared" si="0"/>
        <v>10187</v>
      </c>
      <c r="H36" s="123">
        <v>0.55700000000000005</v>
      </c>
      <c r="I36" s="95"/>
      <c r="J36" s="22">
        <f t="shared" si="4"/>
        <v>0</v>
      </c>
      <c r="K36" s="95"/>
      <c r="L36" s="22">
        <f t="shared" si="5"/>
        <v>0</v>
      </c>
      <c r="M36" s="132"/>
      <c r="N36" s="22"/>
      <c r="O36" s="128">
        <v>791580</v>
      </c>
      <c r="P36" s="127">
        <f t="shared" si="7"/>
        <v>21164</v>
      </c>
      <c r="Q36" s="26"/>
      <c r="R36" s="26"/>
      <c r="S36" s="22"/>
      <c r="T36" s="22"/>
      <c r="U36" s="21">
        <f t="shared" si="6"/>
        <v>0</v>
      </c>
      <c r="V36" s="50">
        <v>0</v>
      </c>
      <c r="W36" s="51">
        <v>430</v>
      </c>
      <c r="X36" s="49">
        <f t="shared" si="1"/>
        <v>430</v>
      </c>
      <c r="Y36" s="50"/>
      <c r="Z36" s="51">
        <v>20431</v>
      </c>
      <c r="AA36" s="49">
        <f t="shared" si="2"/>
        <v>20431</v>
      </c>
      <c r="AB36" s="44">
        <v>0</v>
      </c>
      <c r="AC36" s="44">
        <v>0.55999999999994543</v>
      </c>
      <c r="AD36" s="44"/>
      <c r="AE36" s="44">
        <v>21.519999999999982</v>
      </c>
      <c r="AF36" s="248"/>
      <c r="AG36" s="243">
        <f t="shared" si="9"/>
        <v>0</v>
      </c>
      <c r="AH36" s="92"/>
      <c r="AI36" s="7">
        <v>318.27</v>
      </c>
      <c r="AJ36" s="7">
        <f t="shared" si="10"/>
        <v>6774.5999999999985</v>
      </c>
      <c r="AK36" s="98"/>
      <c r="AL36" s="90"/>
      <c r="AM36" s="98"/>
      <c r="AN36" s="90"/>
      <c r="AO36" s="90"/>
      <c r="AP36" s="90"/>
      <c r="AQ36" s="17">
        <v>2</v>
      </c>
    </row>
    <row r="37" spans="2:43" x14ac:dyDescent="0.25">
      <c r="B37" s="14" t="s">
        <v>48</v>
      </c>
      <c r="C37" s="14"/>
      <c r="D37" s="69">
        <f>AVERAGE(D7:D36)</f>
        <v>0.51333333333333331</v>
      </c>
      <c r="E37" s="69"/>
      <c r="F37" s="69">
        <f>AVERAGE(F7:F36)</f>
        <v>0.45633333333333331</v>
      </c>
      <c r="G37" s="65">
        <f>AVERAGE(G7:G36)</f>
        <v>13212.483333333334</v>
      </c>
      <c r="H37" s="69">
        <f>AVERAGE(H7:H36)</f>
        <v>0.56143333333333334</v>
      </c>
      <c r="I37" s="14"/>
      <c r="J37" s="65">
        <f>SUMIFS(J7:J36,J7:J36,"&gt;0")</f>
        <v>0</v>
      </c>
      <c r="K37" s="65"/>
      <c r="L37" s="65"/>
      <c r="M37" s="65"/>
      <c r="N37" s="65"/>
      <c r="O37" s="67"/>
      <c r="P37" s="137">
        <f>SUMIFS(P7:P36,P7:P36,"&gt;0")</f>
        <v>556937</v>
      </c>
      <c r="Q37" s="67"/>
      <c r="R37" s="67"/>
      <c r="S37" s="65">
        <f>SUM(S7:S36)</f>
        <v>0</v>
      </c>
      <c r="T37" s="67"/>
      <c r="U37" s="65">
        <f>SUMIFS(U7:U36,U7:U36,"&gt;0")</f>
        <v>0</v>
      </c>
      <c r="V37" s="65">
        <f>SUM(V7:V36)</f>
        <v>3506</v>
      </c>
      <c r="W37" s="65">
        <f>SUM(W7:W36)</f>
        <v>1777</v>
      </c>
      <c r="X37" s="65">
        <f>SUM(X7:X36)</f>
        <v>5283</v>
      </c>
      <c r="Y37" s="65"/>
      <c r="Z37" s="65"/>
      <c r="AA37" s="137">
        <f t="shared" ref="AA37:AF37" si="11">SUM(AA7:AA36)</f>
        <v>556204</v>
      </c>
      <c r="AB37" s="65">
        <f t="shared" si="11"/>
        <v>8.8800000000000097</v>
      </c>
      <c r="AC37" s="65">
        <f t="shared" si="11"/>
        <v>0.55999999999994543</v>
      </c>
      <c r="AD37" s="65">
        <f t="shared" si="11"/>
        <v>2.6600000000000819</v>
      </c>
      <c r="AE37" s="65">
        <f t="shared" si="11"/>
        <v>521.1</v>
      </c>
      <c r="AF37" s="99">
        <f t="shared" si="11"/>
        <v>0</v>
      </c>
      <c r="AG37" s="11"/>
      <c r="AH37" s="66" t="e">
        <f>AVERAGE(AH7:AH36)</f>
        <v>#DIV/0!</v>
      </c>
      <c r="AI37" s="65">
        <f>SUM(AI7:AI36)</f>
        <v>6774.5999999999985</v>
      </c>
      <c r="AJ37" s="68"/>
      <c r="AK37" s="66"/>
      <c r="AL37" s="65">
        <f>SUM(AL7:AL36)</f>
        <v>0</v>
      </c>
      <c r="AM37" s="99"/>
      <c r="AN37" s="65">
        <f>SUM(AN7:AN36)</f>
        <v>0</v>
      </c>
      <c r="AO37" s="65"/>
      <c r="AP37" s="65"/>
      <c r="AQ37" s="5"/>
    </row>
    <row r="38" spans="2:43" x14ac:dyDescent="0.25">
      <c r="P38" s="72"/>
      <c r="U38" s="63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236"/>
      <c r="AG38" s="63"/>
      <c r="AI38" s="63"/>
      <c r="AJ38" s="63"/>
      <c r="AN38" s="63"/>
      <c r="AO38" s="63"/>
      <c r="AP38" s="63"/>
    </row>
    <row r="39" spans="2:43" x14ac:dyDescent="0.25">
      <c r="G39" s="81"/>
      <c r="O39" s="88"/>
      <c r="P39" s="87"/>
      <c r="S39" s="89"/>
      <c r="U39" s="91"/>
      <c r="AF39" s="237"/>
      <c r="AH39" s="85"/>
      <c r="AI39" s="74"/>
      <c r="AK39" s="85"/>
      <c r="AL39" s="85"/>
      <c r="AM39" s="85"/>
      <c r="AN39" s="73"/>
      <c r="AO39" s="73"/>
      <c r="AP39" s="73"/>
    </row>
    <row r="40" spans="2:43" x14ac:dyDescent="0.25">
      <c r="C40" s="16"/>
      <c r="P40" s="80"/>
      <c r="T40" s="88"/>
      <c r="AH40" s="86"/>
      <c r="AK40" s="86"/>
      <c r="AL40" s="86"/>
      <c r="AM40" s="86"/>
      <c r="AN40" s="73"/>
      <c r="AO40" s="73"/>
      <c r="AP40" s="73"/>
    </row>
    <row r="41" spans="2:43" x14ac:dyDescent="0.25">
      <c r="AN41" s="63"/>
      <c r="AO41" s="63"/>
      <c r="AP41" s="63"/>
    </row>
  </sheetData>
  <mergeCells count="27">
    <mergeCell ref="AF5:AG5"/>
    <mergeCell ref="AI3:AJ3"/>
    <mergeCell ref="AI4:AJ4"/>
    <mergeCell ref="AF3:AH3"/>
    <mergeCell ref="AF4:AH4"/>
    <mergeCell ref="T4:U5"/>
    <mergeCell ref="I5:J5"/>
    <mergeCell ref="O5:P5"/>
    <mergeCell ref="Q5:R5"/>
    <mergeCell ref="B3:AE3"/>
    <mergeCell ref="B4:B6"/>
    <mergeCell ref="C4:C6"/>
    <mergeCell ref="D4:G4"/>
    <mergeCell ref="I4:P4"/>
    <mergeCell ref="Q4:S4"/>
    <mergeCell ref="V4:X4"/>
    <mergeCell ref="AB4:AC4"/>
    <mergeCell ref="AD4:AE4"/>
    <mergeCell ref="Y4:AA4"/>
    <mergeCell ref="K5:L5"/>
    <mergeCell ref="M5:N5"/>
    <mergeCell ref="AK3:AP4"/>
    <mergeCell ref="AQ3:AQ6"/>
    <mergeCell ref="AI5:AJ5"/>
    <mergeCell ref="AK5:AL5"/>
    <mergeCell ref="AM5:AN5"/>
    <mergeCell ref="AO5:AP5"/>
  </mergeCells>
  <pageMargins left="0" right="0" top="0.35433070866141736" bottom="0" header="0.31496062992125984" footer="0.31496062992125984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V42"/>
  <sheetViews>
    <sheetView showGridLines="0" zoomScale="85" zoomScaleNormal="85" workbookViewId="0">
      <pane xSplit="3" ySplit="6" topLeftCell="E28" activePane="bottomRight" state="frozen"/>
      <selection pane="topRight" activeCell="B41" sqref="B41:E42"/>
      <selection pane="bottomLeft" activeCell="B41" sqref="B41:E42"/>
      <selection pane="bottomRight" activeCell="B41" sqref="B41:E42"/>
    </sheetView>
  </sheetViews>
  <sheetFormatPr defaultColWidth="9.109375" defaultRowHeight="13.8" x14ac:dyDescent="0.25"/>
  <cols>
    <col min="1" max="1" width="4.5546875" style="1" customWidth="1"/>
    <col min="2" max="2" width="22.5546875" style="2" customWidth="1"/>
    <col min="3" max="3" width="10.44140625" style="2" bestFit="1" customWidth="1"/>
    <col min="4" max="5" width="10.44140625" style="2" customWidth="1"/>
    <col min="6" max="6" width="10" style="2" customWidth="1"/>
    <col min="7" max="7" width="11" style="2" customWidth="1"/>
    <col min="8" max="8" width="11.44140625" style="2" customWidth="1"/>
    <col min="9" max="9" width="12.44140625" style="1" customWidth="1"/>
    <col min="10" max="10" width="13" style="1" customWidth="1"/>
    <col min="11" max="11" width="12.44140625" style="1" customWidth="1"/>
    <col min="12" max="12" width="13" style="1" customWidth="1"/>
    <col min="13" max="13" width="10.88671875" style="1" bestFit="1" customWidth="1"/>
    <col min="14" max="14" width="10.88671875" style="1" customWidth="1"/>
    <col min="15" max="15" width="11.44140625" style="1" customWidth="1"/>
    <col min="16" max="16" width="11.5546875" style="1" customWidth="1"/>
    <col min="17" max="17" width="11.88671875" style="1" customWidth="1"/>
    <col min="18" max="18" width="11.5546875" style="1" customWidth="1"/>
    <col min="19" max="19" width="11.88671875" style="1" customWidth="1"/>
    <col min="20" max="20" width="12.44140625" style="3" customWidth="1"/>
    <col min="21" max="21" width="11.109375" style="3" customWidth="1"/>
    <col min="22" max="22" width="12.44140625" style="3" bestFit="1" customWidth="1"/>
    <col min="23" max="25" width="12.44140625" style="3" customWidth="1"/>
    <col min="26" max="26" width="11.5546875" style="3" customWidth="1"/>
    <col min="27" max="27" width="11.109375" style="3" customWidth="1"/>
    <col min="28" max="28" width="11" style="3" customWidth="1"/>
    <col min="29" max="29" width="11.44140625" style="3" customWidth="1"/>
    <col min="30" max="30" width="11.5546875" style="234" customWidth="1"/>
    <col min="31" max="31" width="11.5546875" style="1" customWidth="1"/>
    <col min="32" max="32" width="11.5546875" style="2" customWidth="1"/>
    <col min="33" max="34" width="13.109375" style="1" customWidth="1"/>
    <col min="35" max="37" width="13" style="1" customWidth="1"/>
    <col min="38" max="38" width="13.109375" style="2" customWidth="1"/>
    <col min="39" max="39" width="11.5546875" style="2" customWidth="1"/>
    <col min="40" max="40" width="12.88671875" style="2" customWidth="1"/>
    <col min="41" max="43" width="12.88671875" style="1" customWidth="1"/>
    <col min="44" max="44" width="38" style="1" bestFit="1" customWidth="1"/>
    <col min="45" max="45" width="9.109375" style="1"/>
    <col min="46" max="46" width="10.88671875" style="1" bestFit="1" customWidth="1"/>
    <col min="47" max="47" width="12.88671875" style="1" bestFit="1" customWidth="1"/>
    <col min="48" max="16384" width="9.109375" style="1"/>
  </cols>
  <sheetData>
    <row r="2" spans="2:48" x14ac:dyDescent="0.25">
      <c r="B2" s="4" t="s">
        <v>0</v>
      </c>
    </row>
    <row r="3" spans="2:48" ht="28.5" customHeight="1" x14ac:dyDescent="0.25">
      <c r="B3" s="479" t="s">
        <v>1</v>
      </c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  <c r="AA3" s="480"/>
      <c r="AB3" s="480"/>
      <c r="AC3" s="481"/>
      <c r="AD3" s="490" t="s">
        <v>2</v>
      </c>
      <c r="AE3" s="491"/>
      <c r="AF3" s="492"/>
      <c r="AG3" s="485" t="s">
        <v>3</v>
      </c>
      <c r="AH3" s="486"/>
      <c r="AI3" s="494" t="s">
        <v>55</v>
      </c>
      <c r="AJ3" s="495"/>
      <c r="AK3" s="496"/>
      <c r="AL3" s="465" t="s">
        <v>4</v>
      </c>
      <c r="AM3" s="473"/>
      <c r="AN3" s="473"/>
      <c r="AO3" s="473"/>
      <c r="AP3" s="473"/>
      <c r="AQ3" s="473"/>
      <c r="AR3" s="457" t="s">
        <v>5</v>
      </c>
    </row>
    <row r="4" spans="2:48" ht="16.5" customHeight="1" x14ac:dyDescent="0.25">
      <c r="B4" s="460" t="s">
        <v>6</v>
      </c>
      <c r="C4" s="460" t="s">
        <v>7</v>
      </c>
      <c r="D4" s="461" t="s">
        <v>8</v>
      </c>
      <c r="E4" s="462"/>
      <c r="F4" s="462"/>
      <c r="G4" s="463"/>
      <c r="H4" s="54" t="s">
        <v>9</v>
      </c>
      <c r="I4" s="464" t="s">
        <v>10</v>
      </c>
      <c r="J4" s="464"/>
      <c r="K4" s="464"/>
      <c r="L4" s="464"/>
      <c r="M4" s="464" t="s">
        <v>11</v>
      </c>
      <c r="N4" s="464"/>
      <c r="O4" s="464"/>
      <c r="P4" s="465" t="s">
        <v>56</v>
      </c>
      <c r="Q4" s="466"/>
      <c r="R4" s="465" t="s">
        <v>57</v>
      </c>
      <c r="S4" s="466"/>
      <c r="T4" s="469" t="s">
        <v>13</v>
      </c>
      <c r="U4" s="470"/>
      <c r="V4" s="471"/>
      <c r="W4" s="482" t="s">
        <v>14</v>
      </c>
      <c r="X4" s="483"/>
      <c r="Y4" s="484"/>
      <c r="Z4" s="461" t="s">
        <v>15</v>
      </c>
      <c r="AA4" s="463"/>
      <c r="AB4" s="461" t="s">
        <v>16</v>
      </c>
      <c r="AC4" s="463"/>
      <c r="AD4" s="487" t="s">
        <v>17</v>
      </c>
      <c r="AE4" s="488"/>
      <c r="AF4" s="489"/>
      <c r="AG4" s="477" t="s">
        <v>17</v>
      </c>
      <c r="AH4" s="478"/>
      <c r="AI4" s="487" t="s">
        <v>17</v>
      </c>
      <c r="AJ4" s="488"/>
      <c r="AK4" s="489"/>
      <c r="AL4" s="467"/>
      <c r="AM4" s="474"/>
      <c r="AN4" s="474"/>
      <c r="AO4" s="474"/>
      <c r="AP4" s="474"/>
      <c r="AQ4" s="474"/>
      <c r="AR4" s="458"/>
    </row>
    <row r="5" spans="2:48" ht="52.5" customHeight="1" x14ac:dyDescent="0.25">
      <c r="B5" s="460"/>
      <c r="C5" s="460"/>
      <c r="D5" s="41" t="s">
        <v>18</v>
      </c>
      <c r="E5" s="41" t="s">
        <v>19</v>
      </c>
      <c r="F5" s="41" t="s">
        <v>20</v>
      </c>
      <c r="G5" s="41" t="s">
        <v>21</v>
      </c>
      <c r="H5" s="43" t="s">
        <v>22</v>
      </c>
      <c r="I5" s="477" t="s">
        <v>51</v>
      </c>
      <c r="J5" s="493"/>
      <c r="K5" s="472" t="s">
        <v>52</v>
      </c>
      <c r="L5" s="472"/>
      <c r="M5" s="460" t="s">
        <v>25</v>
      </c>
      <c r="N5" s="460"/>
      <c r="O5" s="43" t="s">
        <v>26</v>
      </c>
      <c r="P5" s="467"/>
      <c r="Q5" s="468"/>
      <c r="R5" s="467"/>
      <c r="S5" s="468"/>
      <c r="T5" s="82" t="s">
        <v>27</v>
      </c>
      <c r="U5" s="82" t="s">
        <v>24</v>
      </c>
      <c r="V5" s="82" t="s">
        <v>21</v>
      </c>
      <c r="W5" s="34" t="s">
        <v>27</v>
      </c>
      <c r="X5" s="34" t="s">
        <v>24</v>
      </c>
      <c r="Y5" s="36" t="s">
        <v>21</v>
      </c>
      <c r="Z5" s="82" t="s">
        <v>27</v>
      </c>
      <c r="AA5" s="82" t="s">
        <v>24</v>
      </c>
      <c r="AB5" s="82" t="s">
        <v>27</v>
      </c>
      <c r="AC5" s="82" t="s">
        <v>24</v>
      </c>
      <c r="AD5" s="472" t="s">
        <v>28</v>
      </c>
      <c r="AE5" s="472"/>
      <c r="AF5" s="45" t="s">
        <v>29</v>
      </c>
      <c r="AG5" s="477" t="s">
        <v>28</v>
      </c>
      <c r="AH5" s="493"/>
      <c r="AI5" s="253" t="s">
        <v>58</v>
      </c>
      <c r="AJ5" s="254" t="s">
        <v>59</v>
      </c>
      <c r="AK5" s="253" t="s">
        <v>60</v>
      </c>
      <c r="AL5" s="475" t="s">
        <v>30</v>
      </c>
      <c r="AM5" s="476"/>
      <c r="AN5" s="475" t="s">
        <v>31</v>
      </c>
      <c r="AO5" s="476"/>
      <c r="AP5" s="477" t="s">
        <v>32</v>
      </c>
      <c r="AQ5" s="478"/>
      <c r="AR5" s="458"/>
    </row>
    <row r="6" spans="2:48" ht="14.4" x14ac:dyDescent="0.3">
      <c r="B6" s="460"/>
      <c r="C6" s="460"/>
      <c r="D6" s="83">
        <v>8350</v>
      </c>
      <c r="E6" s="83">
        <v>8350</v>
      </c>
      <c r="F6" s="83">
        <v>8350</v>
      </c>
      <c r="G6" s="83">
        <f>D6+E6+F6</f>
        <v>25050</v>
      </c>
      <c r="H6" s="56" t="s">
        <v>33</v>
      </c>
      <c r="I6" s="17" t="s">
        <v>34</v>
      </c>
      <c r="J6" s="17" t="s">
        <v>35</v>
      </c>
      <c r="K6" s="17" t="s">
        <v>34</v>
      </c>
      <c r="L6" s="17" t="s">
        <v>35</v>
      </c>
      <c r="M6" s="40" t="s">
        <v>36</v>
      </c>
      <c r="N6" s="40" t="s">
        <v>37</v>
      </c>
      <c r="O6" s="41" t="s">
        <v>38</v>
      </c>
      <c r="P6" s="17" t="s">
        <v>34</v>
      </c>
      <c r="Q6" s="17" t="s">
        <v>35</v>
      </c>
      <c r="R6" s="17" t="s">
        <v>34</v>
      </c>
      <c r="S6" s="17" t="s">
        <v>35</v>
      </c>
      <c r="T6" s="82" t="s">
        <v>39</v>
      </c>
      <c r="U6" s="82" t="s">
        <v>39</v>
      </c>
      <c r="V6" s="82" t="s">
        <v>39</v>
      </c>
      <c r="W6" s="82"/>
      <c r="X6" s="82"/>
      <c r="Y6" s="82"/>
      <c r="Z6" s="41" t="s">
        <v>40</v>
      </c>
      <c r="AA6" s="41" t="s">
        <v>40</v>
      </c>
      <c r="AB6" s="41" t="s">
        <v>40</v>
      </c>
      <c r="AC6" s="41" t="s">
        <v>40</v>
      </c>
      <c r="AD6" s="235" t="s">
        <v>41</v>
      </c>
      <c r="AE6" s="78" t="s">
        <v>42</v>
      </c>
      <c r="AF6" s="9" t="s">
        <v>43</v>
      </c>
      <c r="AG6" s="17" t="s">
        <v>41</v>
      </c>
      <c r="AH6" s="78" t="s">
        <v>42</v>
      </c>
      <c r="AI6" s="78"/>
      <c r="AJ6" s="78"/>
      <c r="AK6" s="78"/>
      <c r="AL6" s="9" t="s">
        <v>34</v>
      </c>
      <c r="AM6" s="9" t="s">
        <v>44</v>
      </c>
      <c r="AN6" s="9" t="s">
        <v>34</v>
      </c>
      <c r="AO6" s="9" t="s">
        <v>44</v>
      </c>
      <c r="AP6" s="9" t="s">
        <v>34</v>
      </c>
      <c r="AQ6" s="9" t="s">
        <v>44</v>
      </c>
      <c r="AR6" s="459"/>
    </row>
    <row r="7" spans="2:48" x14ac:dyDescent="0.25">
      <c r="B7" s="8">
        <v>44743</v>
      </c>
      <c r="C7" s="42" t="str">
        <f>TEXT(B7,"ddd")</f>
        <v>Fri</v>
      </c>
      <c r="D7" s="112">
        <v>0.17</v>
      </c>
      <c r="E7" s="112">
        <v>0.59</v>
      </c>
      <c r="F7" s="112">
        <v>0.77</v>
      </c>
      <c r="G7" s="143">
        <f>SUMPRODUCT(D7:F7,$D$6:$F$6)</f>
        <v>12775.5</v>
      </c>
      <c r="H7" s="163">
        <v>0.55900000000000005</v>
      </c>
      <c r="I7" s="95"/>
      <c r="J7" s="22">
        <f>I7-0</f>
        <v>0</v>
      </c>
      <c r="K7" s="164">
        <v>813362</v>
      </c>
      <c r="L7" s="127">
        <f>K7-791580</f>
        <v>21782</v>
      </c>
      <c r="M7" s="23"/>
      <c r="N7" s="23"/>
      <c r="O7" s="22"/>
      <c r="P7" s="22">
        <v>3331</v>
      </c>
      <c r="Q7" s="21">
        <f>P7-3331</f>
        <v>0</v>
      </c>
      <c r="R7" s="22">
        <v>3374</v>
      </c>
      <c r="S7" s="21">
        <f>R7-3374</f>
        <v>0</v>
      </c>
      <c r="T7" s="100">
        <v>243</v>
      </c>
      <c r="U7" s="109">
        <v>0</v>
      </c>
      <c r="V7" s="105">
        <f t="shared" ref="V7:V18" si="0">SUM(T7:U7)</f>
        <v>243</v>
      </c>
      <c r="W7" s="109">
        <v>0</v>
      </c>
      <c r="X7" s="51">
        <v>21424</v>
      </c>
      <c r="Y7" s="49">
        <f t="shared" ref="Y7:Y37" si="1">SUM(W7:X7)</f>
        <v>21424</v>
      </c>
      <c r="Z7" s="44">
        <v>0.79999999999999716</v>
      </c>
      <c r="AA7" s="44">
        <v>0</v>
      </c>
      <c r="AB7" s="109">
        <v>0</v>
      </c>
      <c r="AC7" s="44">
        <v>19.029999999999973</v>
      </c>
      <c r="AD7" s="247">
        <v>358.8</v>
      </c>
      <c r="AE7" s="243">
        <f>AD7</f>
        <v>358.8</v>
      </c>
      <c r="AF7" s="186">
        <v>15.62</v>
      </c>
      <c r="AG7" s="7">
        <v>358.8</v>
      </c>
      <c r="AH7" s="7">
        <f>AG7</f>
        <v>358.8</v>
      </c>
      <c r="AI7" s="255">
        <v>358.8</v>
      </c>
      <c r="AJ7" s="255"/>
      <c r="AK7" s="255">
        <v>358.8</v>
      </c>
      <c r="AL7" s="216">
        <v>137896</v>
      </c>
      <c r="AM7" s="76">
        <f>AL7-135932</f>
        <v>1964</v>
      </c>
      <c r="AN7" s="202">
        <v>14699</v>
      </c>
      <c r="AO7" s="90">
        <f>AN7-14699</f>
        <v>0</v>
      </c>
      <c r="AP7" s="90"/>
      <c r="AQ7" s="90"/>
      <c r="AR7" s="17"/>
      <c r="AT7" s="79"/>
      <c r="AU7" s="74"/>
      <c r="AV7" s="74"/>
    </row>
    <row r="8" spans="2:48" x14ac:dyDescent="0.25">
      <c r="B8" s="8">
        <f>B7+1</f>
        <v>44744</v>
      </c>
      <c r="C8" s="42" t="str">
        <f t="shared" ref="C8:C37" si="2">TEXT(B8,"ddd")</f>
        <v>Sat</v>
      </c>
      <c r="D8" s="112">
        <v>0.05</v>
      </c>
      <c r="E8" s="112">
        <v>0.37</v>
      </c>
      <c r="F8" s="112">
        <v>0.46</v>
      </c>
      <c r="G8" s="143">
        <f t="shared" ref="G8:G37" si="3">SUMPRODUCT(D8:F8,$D$6:$F$6)</f>
        <v>7348</v>
      </c>
      <c r="H8" s="163">
        <v>0.56100000000000005</v>
      </c>
      <c r="I8" s="95"/>
      <c r="J8" s="22">
        <f t="shared" ref="J8:J36" si="4">I8-I7</f>
        <v>0</v>
      </c>
      <c r="K8" s="150">
        <v>833102</v>
      </c>
      <c r="L8" s="127">
        <f>K8-K7</f>
        <v>19740</v>
      </c>
      <c r="M8" s="26"/>
      <c r="N8" s="26"/>
      <c r="O8" s="22"/>
      <c r="P8" s="22">
        <v>3331</v>
      </c>
      <c r="Q8" s="21">
        <f t="shared" ref="Q8:Q29" si="5">P8-P7</f>
        <v>0</v>
      </c>
      <c r="R8" s="22">
        <v>3374</v>
      </c>
      <c r="S8" s="21">
        <f t="shared" ref="S8:S33" si="6">R8-R7</f>
        <v>0</v>
      </c>
      <c r="T8" s="100">
        <v>155</v>
      </c>
      <c r="U8" s="109">
        <v>0</v>
      </c>
      <c r="V8" s="105">
        <f t="shared" si="0"/>
        <v>155</v>
      </c>
      <c r="W8" s="109">
        <v>0</v>
      </c>
      <c r="X8" s="51">
        <v>32461</v>
      </c>
      <c r="Y8" s="49">
        <f t="shared" si="1"/>
        <v>32461</v>
      </c>
      <c r="Z8" s="44">
        <v>0.54999999999999716</v>
      </c>
      <c r="AA8" s="44">
        <v>0</v>
      </c>
      <c r="AB8" s="109">
        <v>0</v>
      </c>
      <c r="AC8" s="44">
        <v>24.039999999999964</v>
      </c>
      <c r="AD8" s="247">
        <v>347.78</v>
      </c>
      <c r="AE8" s="243">
        <f>AD8+AE7</f>
        <v>706.57999999999993</v>
      </c>
      <c r="AF8" s="187">
        <v>16.12</v>
      </c>
      <c r="AG8" s="7">
        <v>347.78</v>
      </c>
      <c r="AH8" s="7">
        <f>AG8+AH7</f>
        <v>706.57999999999993</v>
      </c>
      <c r="AI8" s="255">
        <v>347.78</v>
      </c>
      <c r="AJ8" s="255"/>
      <c r="AK8" s="255">
        <v>347.78</v>
      </c>
      <c r="AL8" s="216">
        <v>140474</v>
      </c>
      <c r="AM8" s="76">
        <f t="shared" ref="AM8:AM35" si="7">AL8-AL7</f>
        <v>2578</v>
      </c>
      <c r="AN8" s="202">
        <v>15301</v>
      </c>
      <c r="AO8" s="76">
        <f t="shared" ref="AO8:AO37" si="8">AN8-AN7</f>
        <v>602</v>
      </c>
      <c r="AP8" s="90"/>
      <c r="AQ8" s="90"/>
      <c r="AR8" s="17">
        <v>2</v>
      </c>
      <c r="AT8" s="79"/>
      <c r="AU8" s="74"/>
      <c r="AV8" s="74"/>
    </row>
    <row r="9" spans="2:48" x14ac:dyDescent="0.25">
      <c r="B9" s="8">
        <f>B8+1</f>
        <v>44745</v>
      </c>
      <c r="C9" s="42" t="str">
        <f t="shared" si="2"/>
        <v>Sun</v>
      </c>
      <c r="D9" s="112">
        <v>0.45</v>
      </c>
      <c r="E9" s="112">
        <v>1</v>
      </c>
      <c r="F9" s="112">
        <v>0.83</v>
      </c>
      <c r="G9" s="143">
        <f t="shared" si="3"/>
        <v>19038</v>
      </c>
      <c r="H9" s="151">
        <v>0.56100000000000005</v>
      </c>
      <c r="I9" s="95"/>
      <c r="J9" s="22">
        <f t="shared" si="4"/>
        <v>0</v>
      </c>
      <c r="K9" s="150">
        <v>857356</v>
      </c>
      <c r="L9" s="127">
        <f t="shared" ref="L9:L37" si="9">K9-K8</f>
        <v>24254</v>
      </c>
      <c r="M9" s="26"/>
      <c r="N9" s="26"/>
      <c r="O9" s="22"/>
      <c r="P9" s="22">
        <v>3331</v>
      </c>
      <c r="Q9" s="21">
        <f t="shared" si="5"/>
        <v>0</v>
      </c>
      <c r="R9" s="22">
        <v>3374</v>
      </c>
      <c r="S9" s="21">
        <f t="shared" si="6"/>
        <v>0</v>
      </c>
      <c r="T9" s="100">
        <v>0</v>
      </c>
      <c r="U9" s="109">
        <v>0</v>
      </c>
      <c r="V9" s="105">
        <f t="shared" si="0"/>
        <v>0</v>
      </c>
      <c r="W9" s="109">
        <v>0</v>
      </c>
      <c r="X9" s="51">
        <v>8895</v>
      </c>
      <c r="Y9" s="49">
        <f t="shared" si="1"/>
        <v>8895</v>
      </c>
      <c r="Z9" s="44">
        <v>0</v>
      </c>
      <c r="AA9" s="44">
        <v>0</v>
      </c>
      <c r="AB9" s="109">
        <v>0</v>
      </c>
      <c r="AC9" s="44">
        <v>7.6200000000000045</v>
      </c>
      <c r="AD9" s="247"/>
      <c r="AE9" s="243">
        <f>AD9+AE8</f>
        <v>706.57999999999993</v>
      </c>
      <c r="AF9" s="187"/>
      <c r="AG9" s="7">
        <v>0</v>
      </c>
      <c r="AH9" s="7">
        <f>AG9+AH8</f>
        <v>706.57999999999993</v>
      </c>
      <c r="AI9" s="255">
        <v>0</v>
      </c>
      <c r="AJ9" s="255"/>
      <c r="AK9" s="255">
        <v>0</v>
      </c>
      <c r="AL9" s="216">
        <v>143166</v>
      </c>
      <c r="AM9" s="76">
        <f t="shared" si="7"/>
        <v>2692</v>
      </c>
      <c r="AN9" s="202">
        <v>15642</v>
      </c>
      <c r="AO9" s="76">
        <f t="shared" si="8"/>
        <v>341</v>
      </c>
      <c r="AP9" s="90"/>
      <c r="AQ9" s="90"/>
      <c r="AR9" s="17">
        <v>2</v>
      </c>
      <c r="AT9" s="79"/>
      <c r="AU9" s="74"/>
      <c r="AV9" s="74"/>
    </row>
    <row r="10" spans="2:48" x14ac:dyDescent="0.25">
      <c r="B10" s="8">
        <f t="shared" ref="B10:B37" si="10">B9+1</f>
        <v>44746</v>
      </c>
      <c r="C10" s="42" t="str">
        <f t="shared" si="2"/>
        <v>Mon</v>
      </c>
      <c r="D10" s="165">
        <v>0.24</v>
      </c>
      <c r="E10" s="165">
        <v>0.37</v>
      </c>
      <c r="F10" s="165">
        <v>0.71</v>
      </c>
      <c r="G10" s="143">
        <f t="shared" si="3"/>
        <v>11022</v>
      </c>
      <c r="H10" s="151">
        <v>0.56399999999999995</v>
      </c>
      <c r="I10" s="95"/>
      <c r="J10" s="22">
        <f t="shared" si="4"/>
        <v>0</v>
      </c>
      <c r="K10" s="150">
        <v>877747</v>
      </c>
      <c r="L10" s="127">
        <f t="shared" si="9"/>
        <v>20391</v>
      </c>
      <c r="M10" s="26"/>
      <c r="N10" s="26"/>
      <c r="O10" s="22"/>
      <c r="P10" s="22">
        <v>3331</v>
      </c>
      <c r="Q10" s="21">
        <f t="shared" si="5"/>
        <v>0</v>
      </c>
      <c r="R10" s="22">
        <v>3374</v>
      </c>
      <c r="S10" s="21">
        <f t="shared" si="6"/>
        <v>0</v>
      </c>
      <c r="T10" s="100">
        <v>172</v>
      </c>
      <c r="U10" s="109">
        <v>438</v>
      </c>
      <c r="V10" s="105">
        <f t="shared" si="0"/>
        <v>610</v>
      </c>
      <c r="W10" s="109">
        <v>0</v>
      </c>
      <c r="X10" s="51">
        <v>23293</v>
      </c>
      <c r="Y10" s="49">
        <f t="shared" si="1"/>
        <v>23293</v>
      </c>
      <c r="Z10" s="44">
        <v>0.56999999999999318</v>
      </c>
      <c r="AA10" s="44">
        <v>1.26</v>
      </c>
      <c r="AB10" s="109">
        <v>0</v>
      </c>
      <c r="AC10" s="44">
        <v>22.530000000000086</v>
      </c>
      <c r="AD10" s="247">
        <v>141.16</v>
      </c>
      <c r="AE10" s="243">
        <f>AD10+AE9</f>
        <v>847.7399999999999</v>
      </c>
      <c r="AF10" s="187">
        <v>6.91</v>
      </c>
      <c r="AG10" s="7">
        <v>141.16</v>
      </c>
      <c r="AH10" s="7">
        <f>AG10+AH9</f>
        <v>847.7399999999999</v>
      </c>
      <c r="AI10" s="255">
        <v>141.16</v>
      </c>
      <c r="AJ10" s="255">
        <v>5.9960000000000004</v>
      </c>
      <c r="AK10" s="255">
        <v>147.15600000000001</v>
      </c>
      <c r="AL10" s="216">
        <v>144780</v>
      </c>
      <c r="AM10" s="76">
        <f t="shared" si="7"/>
        <v>1614</v>
      </c>
      <c r="AN10" s="202">
        <v>15989</v>
      </c>
      <c r="AO10" s="76">
        <f t="shared" si="8"/>
        <v>347</v>
      </c>
      <c r="AP10" s="90"/>
      <c r="AQ10" s="90"/>
      <c r="AR10" s="17">
        <v>1</v>
      </c>
      <c r="AT10" s="79"/>
      <c r="AU10" s="74"/>
      <c r="AV10" s="74"/>
    </row>
    <row r="11" spans="2:48" x14ac:dyDescent="0.25">
      <c r="B11" s="8">
        <f t="shared" si="10"/>
        <v>44747</v>
      </c>
      <c r="C11" s="42" t="str">
        <f t="shared" si="2"/>
        <v>Tue</v>
      </c>
      <c r="D11" s="166">
        <v>7.0000000000000007E-2</v>
      </c>
      <c r="E11" s="166">
        <v>0.15</v>
      </c>
      <c r="F11" s="166">
        <v>0.14000000000000001</v>
      </c>
      <c r="G11" s="143">
        <f t="shared" si="3"/>
        <v>3006</v>
      </c>
      <c r="H11" s="167">
        <v>0.55800000000000005</v>
      </c>
      <c r="I11" s="95"/>
      <c r="J11" s="22">
        <f t="shared" si="4"/>
        <v>0</v>
      </c>
      <c r="K11" s="150">
        <v>898865</v>
      </c>
      <c r="L11" s="127">
        <f t="shared" si="9"/>
        <v>21118</v>
      </c>
      <c r="M11" s="26"/>
      <c r="N11" s="26"/>
      <c r="O11" s="22"/>
      <c r="P11" s="22">
        <v>3331</v>
      </c>
      <c r="Q11" s="21">
        <f t="shared" si="5"/>
        <v>0</v>
      </c>
      <c r="R11" s="22">
        <v>3374</v>
      </c>
      <c r="S11" s="21">
        <f t="shared" si="6"/>
        <v>0</v>
      </c>
      <c r="T11" s="100">
        <v>182</v>
      </c>
      <c r="U11" s="109">
        <v>0</v>
      </c>
      <c r="V11" s="105">
        <f t="shared" si="0"/>
        <v>182</v>
      </c>
      <c r="W11" s="109">
        <v>0</v>
      </c>
      <c r="X11" s="51">
        <v>20723</v>
      </c>
      <c r="Y11" s="49">
        <f t="shared" si="1"/>
        <v>20723</v>
      </c>
      <c r="Z11" s="44">
        <v>1.0900000000000034</v>
      </c>
      <c r="AA11" s="44">
        <v>0</v>
      </c>
      <c r="AB11" s="109">
        <v>0</v>
      </c>
      <c r="AC11" s="44">
        <v>19.339999999999918</v>
      </c>
      <c r="AD11" s="247">
        <v>265.98</v>
      </c>
      <c r="AE11" s="243">
        <f t="shared" ref="AE11:AE36" si="11">AD11+AE10</f>
        <v>1113.7199999999998</v>
      </c>
      <c r="AF11" s="187">
        <v>15.61</v>
      </c>
      <c r="AG11" s="102">
        <v>265.98</v>
      </c>
      <c r="AH11" s="7">
        <f t="shared" ref="AH11:AH37" si="12">AG11+AH10</f>
        <v>1113.7199999999998</v>
      </c>
      <c r="AI11" s="255">
        <v>265.98</v>
      </c>
      <c r="AJ11" s="255"/>
      <c r="AK11" s="255">
        <v>265.98</v>
      </c>
      <c r="AL11" s="216">
        <v>147114</v>
      </c>
      <c r="AM11" s="76">
        <f t="shared" si="7"/>
        <v>2334</v>
      </c>
      <c r="AN11" s="202">
        <v>16270</v>
      </c>
      <c r="AO11" s="76">
        <f t="shared" si="8"/>
        <v>281</v>
      </c>
      <c r="AP11" s="90"/>
      <c r="AQ11" s="90"/>
      <c r="AR11" s="17">
        <v>2</v>
      </c>
      <c r="AT11" s="79"/>
      <c r="AU11" s="74"/>
      <c r="AV11" s="74"/>
    </row>
    <row r="12" spans="2:48" x14ac:dyDescent="0.25">
      <c r="B12" s="8">
        <f t="shared" si="10"/>
        <v>44748</v>
      </c>
      <c r="C12" s="42" t="str">
        <f t="shared" si="2"/>
        <v>Wed</v>
      </c>
      <c r="D12" s="141">
        <v>0.2</v>
      </c>
      <c r="E12" s="142">
        <v>0.39</v>
      </c>
      <c r="F12" s="142">
        <v>0.24</v>
      </c>
      <c r="G12" s="143">
        <f t="shared" si="3"/>
        <v>6930.5</v>
      </c>
      <c r="H12" s="148">
        <v>0.56000000000000005</v>
      </c>
      <c r="I12" s="95"/>
      <c r="J12" s="22">
        <f t="shared" si="4"/>
        <v>0</v>
      </c>
      <c r="K12" s="150">
        <v>915324</v>
      </c>
      <c r="L12" s="127">
        <f t="shared" si="9"/>
        <v>16459</v>
      </c>
      <c r="M12" s="26"/>
      <c r="N12" s="26"/>
      <c r="O12" s="22"/>
      <c r="P12" s="22">
        <v>3331</v>
      </c>
      <c r="Q12" s="21">
        <f t="shared" si="5"/>
        <v>0</v>
      </c>
      <c r="R12" s="22">
        <v>3374</v>
      </c>
      <c r="S12" s="21">
        <f t="shared" si="6"/>
        <v>0</v>
      </c>
      <c r="T12" s="100">
        <v>6621</v>
      </c>
      <c r="U12" s="109">
        <v>0</v>
      </c>
      <c r="V12" s="105">
        <f t="shared" si="0"/>
        <v>6621</v>
      </c>
      <c r="W12" s="109">
        <v>0</v>
      </c>
      <c r="X12" s="51">
        <v>17391</v>
      </c>
      <c r="Y12" s="49">
        <f t="shared" si="1"/>
        <v>17391</v>
      </c>
      <c r="Z12" s="44">
        <v>12.049999999999997</v>
      </c>
      <c r="AA12" s="44">
        <v>0</v>
      </c>
      <c r="AB12" s="109">
        <v>0</v>
      </c>
      <c r="AC12" s="44">
        <v>21.980000000000018</v>
      </c>
      <c r="AD12" s="247">
        <v>271.98</v>
      </c>
      <c r="AE12" s="243">
        <f t="shared" si="11"/>
        <v>1385.6999999999998</v>
      </c>
      <c r="AF12" s="186">
        <v>15.87</v>
      </c>
      <c r="AG12" s="102">
        <v>271.98</v>
      </c>
      <c r="AH12" s="7">
        <f t="shared" si="12"/>
        <v>1385.6999999999998</v>
      </c>
      <c r="AI12" s="255">
        <v>271.98</v>
      </c>
      <c r="AJ12" s="255"/>
      <c r="AK12" s="255">
        <v>271.98</v>
      </c>
      <c r="AL12" s="216">
        <v>149774</v>
      </c>
      <c r="AM12" s="76">
        <f t="shared" si="7"/>
        <v>2660</v>
      </c>
      <c r="AN12" s="202">
        <v>16632</v>
      </c>
      <c r="AO12" s="76">
        <f t="shared" si="8"/>
        <v>362</v>
      </c>
      <c r="AP12" s="90"/>
      <c r="AQ12" s="90"/>
      <c r="AR12" s="17">
        <v>2</v>
      </c>
      <c r="AT12" s="79"/>
      <c r="AU12" s="74"/>
      <c r="AV12" s="74"/>
    </row>
    <row r="13" spans="2:48" x14ac:dyDescent="0.25">
      <c r="B13" s="8">
        <f t="shared" si="10"/>
        <v>44749</v>
      </c>
      <c r="C13" s="42" t="str">
        <f t="shared" si="2"/>
        <v>Thu</v>
      </c>
      <c r="D13" s="141">
        <v>0.24</v>
      </c>
      <c r="E13" s="142">
        <v>0.37</v>
      </c>
      <c r="F13" s="142">
        <v>0.36</v>
      </c>
      <c r="G13" s="143">
        <f t="shared" si="3"/>
        <v>8099.5</v>
      </c>
      <c r="H13" s="148">
        <v>0.56000000000000005</v>
      </c>
      <c r="I13" s="95"/>
      <c r="J13" s="22">
        <f t="shared" si="4"/>
        <v>0</v>
      </c>
      <c r="K13" s="149">
        <v>935700</v>
      </c>
      <c r="L13" s="127">
        <f t="shared" si="9"/>
        <v>20376</v>
      </c>
      <c r="M13" s="26"/>
      <c r="N13" s="26"/>
      <c r="O13" s="22"/>
      <c r="P13" s="22">
        <v>3331</v>
      </c>
      <c r="Q13" s="21">
        <f t="shared" si="5"/>
        <v>0</v>
      </c>
      <c r="R13" s="22">
        <v>3374</v>
      </c>
      <c r="S13" s="21">
        <f t="shared" si="6"/>
        <v>0</v>
      </c>
      <c r="T13" s="100">
        <v>233</v>
      </c>
      <c r="U13" s="109">
        <v>0</v>
      </c>
      <c r="V13" s="105">
        <f t="shared" si="0"/>
        <v>233</v>
      </c>
      <c r="W13" s="109">
        <v>0</v>
      </c>
      <c r="X13" s="51">
        <v>20666</v>
      </c>
      <c r="Y13" s="49">
        <f t="shared" si="1"/>
        <v>20666</v>
      </c>
      <c r="Z13" s="106">
        <v>0.84000000000000341</v>
      </c>
      <c r="AA13" s="106">
        <v>0</v>
      </c>
      <c r="AB13" s="109">
        <v>0</v>
      </c>
      <c r="AC13" s="106">
        <v>21.560000000000059</v>
      </c>
      <c r="AD13" s="247">
        <v>279.77</v>
      </c>
      <c r="AE13" s="243">
        <f t="shared" si="11"/>
        <v>1665.4699999999998</v>
      </c>
      <c r="AF13" s="193">
        <v>15.86</v>
      </c>
      <c r="AG13" s="102">
        <v>279.72000000000003</v>
      </c>
      <c r="AH13" s="7">
        <f t="shared" si="12"/>
        <v>1665.4199999999998</v>
      </c>
      <c r="AI13" s="255">
        <v>279.72000000000003</v>
      </c>
      <c r="AJ13" s="255"/>
      <c r="AK13" s="255">
        <v>279.72000000000003</v>
      </c>
      <c r="AL13" s="216">
        <v>151426</v>
      </c>
      <c r="AM13" s="76">
        <f t="shared" si="7"/>
        <v>1652</v>
      </c>
      <c r="AN13" s="202">
        <v>16632</v>
      </c>
      <c r="AO13" s="76">
        <f t="shared" si="8"/>
        <v>0</v>
      </c>
      <c r="AP13" s="90"/>
      <c r="AQ13" s="90"/>
      <c r="AR13" s="17">
        <v>2</v>
      </c>
      <c r="AT13" s="79"/>
      <c r="AU13" s="74"/>
      <c r="AV13" s="74"/>
    </row>
    <row r="14" spans="2:48" x14ac:dyDescent="0.25">
      <c r="B14" s="8">
        <f t="shared" si="10"/>
        <v>44750</v>
      </c>
      <c r="C14" s="42" t="str">
        <f t="shared" si="2"/>
        <v>Fri</v>
      </c>
      <c r="D14" s="141">
        <v>0.1</v>
      </c>
      <c r="E14" s="142">
        <v>0.24</v>
      </c>
      <c r="F14" s="142">
        <v>0.12</v>
      </c>
      <c r="G14" s="143">
        <f t="shared" si="3"/>
        <v>3841</v>
      </c>
      <c r="H14" s="144">
        <v>0.56000000000000005</v>
      </c>
      <c r="I14" s="95"/>
      <c r="J14" s="22">
        <f t="shared" si="4"/>
        <v>0</v>
      </c>
      <c r="K14" s="149">
        <v>939817</v>
      </c>
      <c r="L14" s="127">
        <f t="shared" si="9"/>
        <v>4117</v>
      </c>
      <c r="M14" s="26"/>
      <c r="N14" s="26"/>
      <c r="O14" s="22"/>
      <c r="P14" s="22">
        <v>3331</v>
      </c>
      <c r="Q14" s="21">
        <f t="shared" si="5"/>
        <v>0</v>
      </c>
      <c r="R14" s="22">
        <v>3374</v>
      </c>
      <c r="S14" s="21">
        <f t="shared" si="6"/>
        <v>0</v>
      </c>
      <c r="T14" s="100">
        <v>4369</v>
      </c>
      <c r="U14" s="109">
        <v>0.21000000000003638</v>
      </c>
      <c r="V14" s="105">
        <f t="shared" si="0"/>
        <v>4369.21</v>
      </c>
      <c r="W14" s="109">
        <v>0</v>
      </c>
      <c r="X14" s="51">
        <v>33455</v>
      </c>
      <c r="Y14" s="49">
        <f t="shared" si="1"/>
        <v>33455</v>
      </c>
      <c r="Z14" s="106">
        <v>9.0100000000000051</v>
      </c>
      <c r="AA14" s="106">
        <v>0.21000000000003638</v>
      </c>
      <c r="AB14" s="109">
        <v>0</v>
      </c>
      <c r="AC14" s="106">
        <v>22.759999999999991</v>
      </c>
      <c r="AD14" s="247">
        <v>294.2</v>
      </c>
      <c r="AE14" s="243">
        <f t="shared" si="11"/>
        <v>1959.6699999999998</v>
      </c>
      <c r="AF14" s="190">
        <v>15.83</v>
      </c>
      <c r="AG14" s="7">
        <v>294.2</v>
      </c>
      <c r="AH14" s="7">
        <f t="shared" si="12"/>
        <v>1959.62</v>
      </c>
      <c r="AI14" s="255">
        <v>294.2</v>
      </c>
      <c r="AJ14" s="255">
        <v>23.44</v>
      </c>
      <c r="AK14" s="255">
        <v>317.64</v>
      </c>
      <c r="AL14" s="216">
        <v>153305</v>
      </c>
      <c r="AM14" s="76">
        <f t="shared" si="7"/>
        <v>1879</v>
      </c>
      <c r="AN14" s="202">
        <v>16632</v>
      </c>
      <c r="AO14" s="76">
        <f t="shared" si="8"/>
        <v>0</v>
      </c>
      <c r="AP14" s="90"/>
      <c r="AQ14" s="90"/>
      <c r="AR14" s="17">
        <v>2</v>
      </c>
      <c r="AT14" s="79"/>
      <c r="AU14" s="74"/>
      <c r="AV14" s="74"/>
    </row>
    <row r="15" spans="2:48" x14ac:dyDescent="0.25">
      <c r="B15" s="8">
        <f t="shared" si="10"/>
        <v>44751</v>
      </c>
      <c r="C15" s="42" t="str">
        <f t="shared" si="2"/>
        <v>Sat</v>
      </c>
      <c r="D15" s="141">
        <v>0.42</v>
      </c>
      <c r="E15" s="142">
        <v>0.91</v>
      </c>
      <c r="F15" s="142">
        <v>0.94</v>
      </c>
      <c r="G15" s="143">
        <f t="shared" si="3"/>
        <v>18954.5</v>
      </c>
      <c r="H15" s="144">
        <v>0.56299999999999994</v>
      </c>
      <c r="I15" s="95"/>
      <c r="J15" s="22">
        <f t="shared" si="4"/>
        <v>0</v>
      </c>
      <c r="K15" s="145">
        <v>969155</v>
      </c>
      <c r="L15" s="127">
        <f t="shared" si="9"/>
        <v>29338</v>
      </c>
      <c r="M15" s="25"/>
      <c r="N15" s="25"/>
      <c r="O15" s="22"/>
      <c r="P15" s="22">
        <v>3331</v>
      </c>
      <c r="Q15" s="21">
        <f t="shared" si="5"/>
        <v>0</v>
      </c>
      <c r="R15" s="22">
        <v>3374</v>
      </c>
      <c r="S15" s="21">
        <f t="shared" si="6"/>
        <v>0</v>
      </c>
      <c r="T15" s="100">
        <v>0</v>
      </c>
      <c r="U15" s="109">
        <v>0</v>
      </c>
      <c r="V15" s="105">
        <f t="shared" si="0"/>
        <v>0</v>
      </c>
      <c r="W15" s="109">
        <v>0</v>
      </c>
      <c r="X15" s="51">
        <v>10810</v>
      </c>
      <c r="Y15" s="49">
        <f t="shared" si="1"/>
        <v>10810</v>
      </c>
      <c r="Z15" s="106">
        <v>0</v>
      </c>
      <c r="AA15" s="106">
        <v>0</v>
      </c>
      <c r="AB15" s="109">
        <v>0</v>
      </c>
      <c r="AC15" s="106">
        <v>8.3899999999999864</v>
      </c>
      <c r="AD15" s="247"/>
      <c r="AE15" s="243">
        <f t="shared" si="11"/>
        <v>1959.6699999999998</v>
      </c>
      <c r="AF15" s="190"/>
      <c r="AG15" s="7">
        <v>0</v>
      </c>
      <c r="AH15" s="7">
        <f t="shared" si="12"/>
        <v>1959.62</v>
      </c>
      <c r="AI15" s="255">
        <v>0</v>
      </c>
      <c r="AJ15" s="255"/>
      <c r="AK15" s="255">
        <v>0</v>
      </c>
      <c r="AL15" s="217">
        <v>154944</v>
      </c>
      <c r="AM15" s="76">
        <f t="shared" si="7"/>
        <v>1639</v>
      </c>
      <c r="AN15" s="202">
        <v>17251</v>
      </c>
      <c r="AO15" s="76">
        <f t="shared" si="8"/>
        <v>619</v>
      </c>
      <c r="AP15" s="90"/>
      <c r="AQ15" s="90"/>
      <c r="AR15" s="17" t="s">
        <v>54</v>
      </c>
      <c r="AT15" s="79"/>
      <c r="AU15" s="74"/>
      <c r="AV15" s="74"/>
    </row>
    <row r="16" spans="2:48" x14ac:dyDescent="0.25">
      <c r="B16" s="8">
        <f t="shared" si="10"/>
        <v>44752</v>
      </c>
      <c r="C16" s="42" t="str">
        <f t="shared" si="2"/>
        <v>Sun</v>
      </c>
      <c r="D16" s="141">
        <v>0.7</v>
      </c>
      <c r="E16" s="142">
        <v>0.96</v>
      </c>
      <c r="F16" s="142">
        <v>0.99</v>
      </c>
      <c r="G16" s="143">
        <f t="shared" si="3"/>
        <v>22127.5</v>
      </c>
      <c r="H16" s="144">
        <v>0.56399999999999995</v>
      </c>
      <c r="I16" s="95"/>
      <c r="J16" s="22">
        <f t="shared" si="4"/>
        <v>0</v>
      </c>
      <c r="K16" s="145">
        <v>979965</v>
      </c>
      <c r="L16" s="127">
        <f t="shared" si="9"/>
        <v>10810</v>
      </c>
      <c r="M16" s="23">
        <v>0.22569444444444445</v>
      </c>
      <c r="N16" s="23">
        <v>0.64583333333333337</v>
      </c>
      <c r="O16" s="22">
        <v>14509</v>
      </c>
      <c r="P16" s="22">
        <v>3331</v>
      </c>
      <c r="Q16" s="21">
        <f t="shared" si="5"/>
        <v>0</v>
      </c>
      <c r="R16" s="22">
        <v>3374</v>
      </c>
      <c r="S16" s="21">
        <f t="shared" si="6"/>
        <v>0</v>
      </c>
      <c r="T16" s="100">
        <v>0</v>
      </c>
      <c r="U16" s="109">
        <v>0</v>
      </c>
      <c r="V16" s="105">
        <f t="shared" si="0"/>
        <v>0</v>
      </c>
      <c r="W16" s="109">
        <v>0</v>
      </c>
      <c r="X16" s="51">
        <v>0</v>
      </c>
      <c r="Y16" s="49">
        <f t="shared" si="1"/>
        <v>0</v>
      </c>
      <c r="Z16" s="106">
        <v>0</v>
      </c>
      <c r="AA16" s="106">
        <v>0</v>
      </c>
      <c r="AB16" s="109">
        <v>0</v>
      </c>
      <c r="AC16" s="106">
        <v>0</v>
      </c>
      <c r="AD16" s="247"/>
      <c r="AE16" s="243">
        <f t="shared" si="11"/>
        <v>1959.6699999999998</v>
      </c>
      <c r="AF16" s="190"/>
      <c r="AG16" s="7">
        <v>0</v>
      </c>
      <c r="AH16" s="7">
        <f t="shared" si="12"/>
        <v>1959.62</v>
      </c>
      <c r="AI16" s="255">
        <v>0</v>
      </c>
      <c r="AJ16" s="255"/>
      <c r="AK16" s="255">
        <v>0</v>
      </c>
      <c r="AL16" s="217">
        <v>156144</v>
      </c>
      <c r="AM16" s="76">
        <f t="shared" si="7"/>
        <v>1200</v>
      </c>
      <c r="AN16" s="202">
        <v>17563</v>
      </c>
      <c r="AO16" s="76">
        <f t="shared" si="8"/>
        <v>312</v>
      </c>
      <c r="AP16" s="90"/>
      <c r="AQ16" s="90"/>
      <c r="AR16" s="17" t="s">
        <v>54</v>
      </c>
      <c r="AT16" s="79"/>
      <c r="AU16" s="74"/>
      <c r="AV16" s="74"/>
    </row>
    <row r="17" spans="2:48" x14ac:dyDescent="0.25">
      <c r="B17" s="8">
        <f t="shared" si="10"/>
        <v>44753</v>
      </c>
      <c r="C17" s="42" t="str">
        <f t="shared" si="2"/>
        <v>Mon</v>
      </c>
      <c r="D17" s="146">
        <v>0.15</v>
      </c>
      <c r="E17" s="147">
        <v>0.05</v>
      </c>
      <c r="F17" s="147">
        <v>0.06</v>
      </c>
      <c r="G17" s="143">
        <f t="shared" si="3"/>
        <v>2171</v>
      </c>
      <c r="H17" s="148">
        <v>0.56299999999999994</v>
      </c>
      <c r="I17" s="95"/>
      <c r="J17" s="22">
        <f t="shared" si="4"/>
        <v>0</v>
      </c>
      <c r="K17" s="145">
        <v>1003827</v>
      </c>
      <c r="L17" s="127">
        <f t="shared" si="9"/>
        <v>23862</v>
      </c>
      <c r="M17" s="26"/>
      <c r="N17" s="26"/>
      <c r="O17" s="22"/>
      <c r="P17" s="22">
        <v>3331</v>
      </c>
      <c r="Q17" s="21">
        <f t="shared" si="5"/>
        <v>0</v>
      </c>
      <c r="R17" s="22">
        <v>3374</v>
      </c>
      <c r="S17" s="21">
        <f t="shared" si="6"/>
        <v>0</v>
      </c>
      <c r="T17" s="100">
        <v>795</v>
      </c>
      <c r="U17" s="109">
        <v>0</v>
      </c>
      <c r="V17" s="105">
        <f t="shared" si="0"/>
        <v>795</v>
      </c>
      <c r="W17" s="109">
        <v>0</v>
      </c>
      <c r="X17" s="51">
        <v>23862</v>
      </c>
      <c r="Y17" s="49">
        <f t="shared" si="1"/>
        <v>23862</v>
      </c>
      <c r="Z17" s="106">
        <v>2.5099999999999909</v>
      </c>
      <c r="AA17" s="106">
        <v>0</v>
      </c>
      <c r="AB17" s="109">
        <v>0</v>
      </c>
      <c r="AC17" s="106">
        <v>20.879999999999995</v>
      </c>
      <c r="AD17" s="247">
        <v>160.87</v>
      </c>
      <c r="AE17" s="243">
        <f t="shared" si="11"/>
        <v>2120.54</v>
      </c>
      <c r="AF17" s="190">
        <v>13.58</v>
      </c>
      <c r="AG17" s="7">
        <v>160.87</v>
      </c>
      <c r="AH17" s="7">
        <f t="shared" si="12"/>
        <v>2120.4899999999998</v>
      </c>
      <c r="AI17" s="256">
        <v>160.87</v>
      </c>
      <c r="AJ17" s="256">
        <v>3.8679999999999999</v>
      </c>
      <c r="AK17" s="256">
        <v>164.738</v>
      </c>
      <c r="AL17" s="218">
        <v>157503</v>
      </c>
      <c r="AM17" s="76">
        <f t="shared" si="7"/>
        <v>1359</v>
      </c>
      <c r="AN17" s="205">
        <v>17798</v>
      </c>
      <c r="AO17" s="76">
        <f t="shared" si="8"/>
        <v>235</v>
      </c>
      <c r="AP17" s="90"/>
      <c r="AQ17" s="90"/>
      <c r="AR17" s="17">
        <v>1</v>
      </c>
      <c r="AT17" s="79"/>
      <c r="AU17" s="74"/>
      <c r="AV17" s="74"/>
    </row>
    <row r="18" spans="2:48" x14ac:dyDescent="0.25">
      <c r="B18" s="8">
        <f t="shared" si="10"/>
        <v>44754</v>
      </c>
      <c r="C18" s="42" t="str">
        <f t="shared" si="2"/>
        <v>Tue</v>
      </c>
      <c r="D18" s="141">
        <v>0.11</v>
      </c>
      <c r="E18" s="142">
        <v>0.28999999999999998</v>
      </c>
      <c r="F18" s="142">
        <v>0.36</v>
      </c>
      <c r="G18" s="143">
        <f t="shared" si="3"/>
        <v>6346</v>
      </c>
      <c r="H18" s="148">
        <v>0.56299999999999994</v>
      </c>
      <c r="I18" s="95"/>
      <c r="J18" s="22">
        <f t="shared" si="4"/>
        <v>0</v>
      </c>
      <c r="K18" s="149">
        <v>1013045</v>
      </c>
      <c r="L18" s="127">
        <f t="shared" si="9"/>
        <v>9218</v>
      </c>
      <c r="M18" s="26"/>
      <c r="N18" s="26"/>
      <c r="O18" s="22"/>
      <c r="P18" s="22">
        <v>3331</v>
      </c>
      <c r="Q18" s="21">
        <f t="shared" si="5"/>
        <v>0</v>
      </c>
      <c r="R18" s="22">
        <v>3374</v>
      </c>
      <c r="S18" s="21">
        <f t="shared" si="6"/>
        <v>0</v>
      </c>
      <c r="T18" s="100">
        <v>11039</v>
      </c>
      <c r="U18" s="109">
        <v>1.0199999999999818</v>
      </c>
      <c r="V18" s="105">
        <f t="shared" si="0"/>
        <v>11040.02</v>
      </c>
      <c r="W18" s="109">
        <v>0</v>
      </c>
      <c r="X18" s="51">
        <v>8229</v>
      </c>
      <c r="Y18" s="49">
        <f t="shared" si="1"/>
        <v>8229</v>
      </c>
      <c r="Z18" s="106">
        <v>18.420000000000002</v>
      </c>
      <c r="AA18" s="106">
        <v>1.0199999999999818</v>
      </c>
      <c r="AB18" s="109">
        <v>0</v>
      </c>
      <c r="AC18" s="106">
        <v>14.360000000000014</v>
      </c>
      <c r="AD18" s="244">
        <v>273.81</v>
      </c>
      <c r="AE18" s="249">
        <v>2394.35</v>
      </c>
      <c r="AF18" s="192">
        <v>13.32</v>
      </c>
      <c r="AG18" s="7">
        <v>273.81</v>
      </c>
      <c r="AH18" s="7">
        <f t="shared" si="12"/>
        <v>2394.2999999999997</v>
      </c>
      <c r="AI18" s="256">
        <v>273.81</v>
      </c>
      <c r="AJ18" s="256">
        <v>18.641999999999999</v>
      </c>
      <c r="AK18" s="256">
        <v>292.452</v>
      </c>
      <c r="AL18" s="218">
        <v>159716</v>
      </c>
      <c r="AM18" s="76">
        <f t="shared" si="7"/>
        <v>2213</v>
      </c>
      <c r="AN18" s="206">
        <v>17931</v>
      </c>
      <c r="AO18" s="76">
        <f t="shared" si="8"/>
        <v>133</v>
      </c>
      <c r="AP18" s="90"/>
      <c r="AQ18" s="90"/>
      <c r="AR18" s="17">
        <v>2</v>
      </c>
      <c r="AT18" s="79"/>
      <c r="AU18" s="74"/>
      <c r="AV18" s="74"/>
    </row>
    <row r="19" spans="2:48" x14ac:dyDescent="0.25">
      <c r="B19" s="8">
        <f t="shared" si="10"/>
        <v>44755</v>
      </c>
      <c r="C19" s="42" t="str">
        <f t="shared" si="2"/>
        <v>Wed</v>
      </c>
      <c r="D19" s="141">
        <v>0.19</v>
      </c>
      <c r="E19" s="142">
        <v>0.73</v>
      </c>
      <c r="F19" s="142">
        <v>0.67</v>
      </c>
      <c r="G19" s="143">
        <f t="shared" si="3"/>
        <v>13276.5</v>
      </c>
      <c r="H19" s="144">
        <v>0.56799999999999995</v>
      </c>
      <c r="I19" s="95"/>
      <c r="J19" s="22">
        <f t="shared" si="4"/>
        <v>0</v>
      </c>
      <c r="K19" s="145">
        <v>1019571</v>
      </c>
      <c r="L19" s="127">
        <f t="shared" si="9"/>
        <v>6526</v>
      </c>
      <c r="M19" s="26"/>
      <c r="N19" s="26"/>
      <c r="O19" s="22"/>
      <c r="P19" s="22">
        <v>3331</v>
      </c>
      <c r="Q19" s="21">
        <f t="shared" si="5"/>
        <v>0</v>
      </c>
      <c r="R19" s="22">
        <v>3374</v>
      </c>
      <c r="S19" s="21">
        <f t="shared" si="6"/>
        <v>0</v>
      </c>
      <c r="T19" s="103">
        <v>14425</v>
      </c>
      <c r="U19" s="104">
        <v>2851</v>
      </c>
      <c r="V19" s="107">
        <f t="shared" ref="V19:V37" si="13">SUM(T19:U19)</f>
        <v>17276</v>
      </c>
      <c r="W19" s="109">
        <v>0</v>
      </c>
      <c r="X19" s="103">
        <v>7515</v>
      </c>
      <c r="Y19" s="49">
        <f t="shared" si="1"/>
        <v>7515</v>
      </c>
      <c r="Z19" s="106">
        <v>17.230000000000004</v>
      </c>
      <c r="AA19" s="106">
        <v>6.2300000000000182</v>
      </c>
      <c r="AB19" s="106"/>
      <c r="AC19" s="106">
        <v>11.919999999999959</v>
      </c>
      <c r="AD19" s="242">
        <v>269.7</v>
      </c>
      <c r="AE19" s="250">
        <v>2664.05</v>
      </c>
      <c r="AF19" s="192">
        <v>15.76</v>
      </c>
      <c r="AG19" s="7">
        <v>269.72000000000003</v>
      </c>
      <c r="AH19" s="7">
        <f t="shared" si="12"/>
        <v>2664.0199999999995</v>
      </c>
      <c r="AI19" s="256">
        <v>269.72000000000003</v>
      </c>
      <c r="AJ19" s="256">
        <v>18.552</v>
      </c>
      <c r="AK19" s="256">
        <v>288.27200000000005</v>
      </c>
      <c r="AL19" s="218">
        <v>161717</v>
      </c>
      <c r="AM19" s="76">
        <f t="shared" si="7"/>
        <v>2001</v>
      </c>
      <c r="AN19" s="202">
        <v>18207</v>
      </c>
      <c r="AO19" s="76">
        <f t="shared" si="8"/>
        <v>276</v>
      </c>
      <c r="AP19" s="90"/>
      <c r="AQ19" s="90"/>
      <c r="AR19" s="17">
        <v>2</v>
      </c>
      <c r="AT19" s="79"/>
      <c r="AU19" s="74"/>
      <c r="AV19" s="74"/>
    </row>
    <row r="20" spans="2:48" x14ac:dyDescent="0.25">
      <c r="B20" s="8">
        <f t="shared" si="10"/>
        <v>44756</v>
      </c>
      <c r="C20" s="42" t="str">
        <f t="shared" si="2"/>
        <v>Thu</v>
      </c>
      <c r="D20" s="112">
        <v>0.28000000000000003</v>
      </c>
      <c r="E20" s="112">
        <v>0.05</v>
      </c>
      <c r="F20" s="112">
        <v>0.84</v>
      </c>
      <c r="G20" s="143">
        <f t="shared" si="3"/>
        <v>9769.5</v>
      </c>
      <c r="H20" s="144">
        <v>0.56699999999999995</v>
      </c>
      <c r="I20" s="95"/>
      <c r="J20" s="22">
        <f t="shared" si="4"/>
        <v>0</v>
      </c>
      <c r="K20" s="150">
        <v>1036096</v>
      </c>
      <c r="L20" s="127">
        <f t="shared" si="9"/>
        <v>16525</v>
      </c>
      <c r="M20" s="26"/>
      <c r="N20" s="26"/>
      <c r="O20" s="22"/>
      <c r="P20" s="22">
        <v>3331</v>
      </c>
      <c r="Q20" s="21">
        <f t="shared" si="5"/>
        <v>0</v>
      </c>
      <c r="R20" s="22">
        <v>3374</v>
      </c>
      <c r="S20" s="21">
        <f t="shared" si="6"/>
        <v>0</v>
      </c>
      <c r="T20" s="103">
        <v>8901</v>
      </c>
      <c r="U20" s="104">
        <v>235</v>
      </c>
      <c r="V20" s="107">
        <f t="shared" si="13"/>
        <v>9136</v>
      </c>
      <c r="W20" s="109">
        <v>0</v>
      </c>
      <c r="X20" s="103">
        <v>15821</v>
      </c>
      <c r="Y20" s="49">
        <f t="shared" si="1"/>
        <v>15821</v>
      </c>
      <c r="Z20" s="106">
        <v>16.919999999999987</v>
      </c>
      <c r="AA20" s="106">
        <v>0.35000000000002274</v>
      </c>
      <c r="AB20" s="106"/>
      <c r="AC20" s="106">
        <v>21.389999999999986</v>
      </c>
      <c r="AD20" s="247">
        <v>274.99</v>
      </c>
      <c r="AE20" s="243">
        <f t="shared" si="11"/>
        <v>2939.04</v>
      </c>
      <c r="AF20" s="192">
        <v>16.11</v>
      </c>
      <c r="AG20" s="135">
        <v>256.76</v>
      </c>
      <c r="AH20" s="7">
        <f t="shared" si="12"/>
        <v>2920.7799999999997</v>
      </c>
      <c r="AI20" s="256">
        <v>256.76</v>
      </c>
      <c r="AJ20" s="256"/>
      <c r="AK20" s="256">
        <v>256.76</v>
      </c>
      <c r="AL20" s="218">
        <v>164102</v>
      </c>
      <c r="AM20" s="76">
        <f t="shared" si="7"/>
        <v>2385</v>
      </c>
      <c r="AN20" s="202">
        <v>18482</v>
      </c>
      <c r="AO20" s="76">
        <f t="shared" si="8"/>
        <v>275</v>
      </c>
      <c r="AP20" s="90"/>
      <c r="AQ20" s="90"/>
      <c r="AR20" s="17">
        <v>2</v>
      </c>
      <c r="AT20" s="79"/>
      <c r="AU20" s="74"/>
      <c r="AV20" s="74"/>
    </row>
    <row r="21" spans="2:48" x14ac:dyDescent="0.25">
      <c r="B21" s="8">
        <f t="shared" si="10"/>
        <v>44757</v>
      </c>
      <c r="C21" s="42" t="str">
        <f t="shared" si="2"/>
        <v>Fri</v>
      </c>
      <c r="D21" s="112">
        <v>0.14000000000000001</v>
      </c>
      <c r="E21" s="112">
        <v>0.45</v>
      </c>
      <c r="F21" s="112">
        <v>0.55000000000000004</v>
      </c>
      <c r="G21" s="143">
        <f t="shared" si="3"/>
        <v>9519</v>
      </c>
      <c r="H21" s="151">
        <v>0.56399999999999995</v>
      </c>
      <c r="I21" s="95"/>
      <c r="J21" s="22">
        <f t="shared" si="4"/>
        <v>0</v>
      </c>
      <c r="K21" s="150">
        <v>1051910</v>
      </c>
      <c r="L21" s="127">
        <f t="shared" si="9"/>
        <v>15814</v>
      </c>
      <c r="M21" s="26"/>
      <c r="N21" s="26"/>
      <c r="O21" s="22"/>
      <c r="P21" s="22">
        <v>3331</v>
      </c>
      <c r="Q21" s="21">
        <f t="shared" si="5"/>
        <v>0</v>
      </c>
      <c r="R21" s="22">
        <v>3374</v>
      </c>
      <c r="S21" s="21">
        <f t="shared" si="6"/>
        <v>0</v>
      </c>
      <c r="T21" s="103">
        <v>10162</v>
      </c>
      <c r="U21" s="104">
        <v>0</v>
      </c>
      <c r="V21" s="107">
        <f t="shared" si="13"/>
        <v>10162</v>
      </c>
      <c r="W21" s="109">
        <v>0</v>
      </c>
      <c r="X21" s="103">
        <v>16528</v>
      </c>
      <c r="Y21" s="49">
        <f t="shared" si="1"/>
        <v>16528</v>
      </c>
      <c r="Z21" s="106">
        <v>17.180000000000007</v>
      </c>
      <c r="AA21" s="106">
        <v>0</v>
      </c>
      <c r="AB21" s="106"/>
      <c r="AC21" s="106">
        <v>24.330000000000041</v>
      </c>
      <c r="AD21" s="247">
        <v>324.17</v>
      </c>
      <c r="AE21" s="243">
        <f t="shared" si="11"/>
        <v>3263.21</v>
      </c>
      <c r="AF21" s="192">
        <v>14.75</v>
      </c>
      <c r="AG21" s="135">
        <v>324.66000000000003</v>
      </c>
      <c r="AH21" s="7">
        <f t="shared" si="12"/>
        <v>3245.4399999999996</v>
      </c>
      <c r="AI21" s="256">
        <v>324.66000000000003</v>
      </c>
      <c r="AJ21" s="256"/>
      <c r="AK21" s="256">
        <v>324.66000000000003</v>
      </c>
      <c r="AL21" s="218">
        <v>166822</v>
      </c>
      <c r="AM21" s="76">
        <f t="shared" si="7"/>
        <v>2720</v>
      </c>
      <c r="AN21" s="202">
        <v>18482</v>
      </c>
      <c r="AO21" s="76">
        <f t="shared" si="8"/>
        <v>0</v>
      </c>
      <c r="AP21" s="90"/>
      <c r="AQ21" s="90"/>
      <c r="AR21" s="17">
        <v>2</v>
      </c>
      <c r="AU21" s="74"/>
      <c r="AV21" s="74"/>
    </row>
    <row r="22" spans="2:48" x14ac:dyDescent="0.25">
      <c r="B22" s="8">
        <f t="shared" si="10"/>
        <v>44758</v>
      </c>
      <c r="C22" s="42" t="str">
        <f t="shared" si="2"/>
        <v>Sat</v>
      </c>
      <c r="D22" s="118">
        <v>0.28999999999999998</v>
      </c>
      <c r="E22" s="118">
        <v>0.3</v>
      </c>
      <c r="F22" s="118">
        <v>0.18</v>
      </c>
      <c r="G22" s="143">
        <f t="shared" si="3"/>
        <v>6429.5</v>
      </c>
      <c r="H22" s="151">
        <v>0.56399999999999995</v>
      </c>
      <c r="I22" s="95"/>
      <c r="J22" s="22">
        <f t="shared" si="4"/>
        <v>0</v>
      </c>
      <c r="K22" s="150">
        <v>1076687</v>
      </c>
      <c r="L22" s="127">
        <f t="shared" si="9"/>
        <v>24777</v>
      </c>
      <c r="M22" s="26"/>
      <c r="N22" s="26"/>
      <c r="O22" s="22"/>
      <c r="P22" s="22">
        <v>3331</v>
      </c>
      <c r="Q22" s="21">
        <f t="shared" si="5"/>
        <v>0</v>
      </c>
      <c r="R22" s="22">
        <v>3374</v>
      </c>
      <c r="S22" s="21">
        <f t="shared" si="6"/>
        <v>0</v>
      </c>
      <c r="T22" s="103">
        <v>12481</v>
      </c>
      <c r="U22" s="104">
        <v>0</v>
      </c>
      <c r="V22" s="107">
        <f t="shared" si="13"/>
        <v>12481</v>
      </c>
      <c r="W22" s="109">
        <v>0</v>
      </c>
      <c r="X22" s="103">
        <v>24767</v>
      </c>
      <c r="Y22" s="49">
        <f t="shared" si="1"/>
        <v>24767</v>
      </c>
      <c r="Z22" s="106">
        <v>21.439999999999998</v>
      </c>
      <c r="AA22" s="106">
        <v>0</v>
      </c>
      <c r="AB22" s="106"/>
      <c r="AC22" s="106">
        <v>23.940000000000055</v>
      </c>
      <c r="AD22" s="247">
        <v>274.13</v>
      </c>
      <c r="AE22" s="243">
        <f t="shared" si="11"/>
        <v>3537.34</v>
      </c>
      <c r="AF22" s="192">
        <v>15.49</v>
      </c>
      <c r="AG22" s="135">
        <v>271.17</v>
      </c>
      <c r="AH22" s="7">
        <f t="shared" si="12"/>
        <v>3516.6099999999997</v>
      </c>
      <c r="AI22" s="256">
        <v>271.17</v>
      </c>
      <c r="AJ22" s="256"/>
      <c r="AK22" s="256">
        <v>271.17</v>
      </c>
      <c r="AL22" s="218">
        <v>169223</v>
      </c>
      <c r="AM22" s="76">
        <f>AL22-AL21</f>
        <v>2401</v>
      </c>
      <c r="AN22" s="202">
        <v>19116</v>
      </c>
      <c r="AO22" s="76">
        <f t="shared" si="8"/>
        <v>634</v>
      </c>
      <c r="AP22" s="90"/>
      <c r="AQ22" s="90"/>
      <c r="AR22" s="17">
        <v>2</v>
      </c>
      <c r="AU22" s="74"/>
      <c r="AV22" s="74"/>
    </row>
    <row r="23" spans="2:48" x14ac:dyDescent="0.25">
      <c r="B23" s="8">
        <f t="shared" si="10"/>
        <v>44759</v>
      </c>
      <c r="C23" s="42" t="str">
        <f t="shared" si="2"/>
        <v>Sun</v>
      </c>
      <c r="D23" s="120">
        <v>0.2</v>
      </c>
      <c r="E23" s="120">
        <v>0.14000000000000001</v>
      </c>
      <c r="F23" s="120">
        <v>0.19</v>
      </c>
      <c r="G23" s="143">
        <f t="shared" si="3"/>
        <v>4425.5</v>
      </c>
      <c r="H23" s="152">
        <v>0.56000000000000005</v>
      </c>
      <c r="I23" s="95"/>
      <c r="J23" s="22">
        <f t="shared" si="4"/>
        <v>0</v>
      </c>
      <c r="K23" s="153">
        <v>1092637</v>
      </c>
      <c r="L23" s="127">
        <f t="shared" si="9"/>
        <v>15950</v>
      </c>
      <c r="M23" s="26"/>
      <c r="N23" s="26"/>
      <c r="O23" s="22"/>
      <c r="P23" s="22">
        <v>3331</v>
      </c>
      <c r="Q23" s="21">
        <f t="shared" si="5"/>
        <v>0</v>
      </c>
      <c r="R23" s="22">
        <v>3374</v>
      </c>
      <c r="S23" s="21">
        <f t="shared" si="6"/>
        <v>0</v>
      </c>
      <c r="T23" s="103">
        <v>9163</v>
      </c>
      <c r="U23" s="104">
        <v>0</v>
      </c>
      <c r="V23" s="107">
        <f t="shared" si="13"/>
        <v>9163</v>
      </c>
      <c r="W23" s="109">
        <v>0</v>
      </c>
      <c r="X23" s="103">
        <v>15950</v>
      </c>
      <c r="Y23" s="49">
        <f t="shared" si="1"/>
        <v>15950</v>
      </c>
      <c r="Z23" s="106">
        <v>23.070000000000022</v>
      </c>
      <c r="AA23" s="106">
        <v>0</v>
      </c>
      <c r="AB23" s="106"/>
      <c r="AC23" s="106">
        <v>23.839999999999918</v>
      </c>
      <c r="AD23" s="247"/>
      <c r="AE23" s="243">
        <f t="shared" si="11"/>
        <v>3537.34</v>
      </c>
      <c r="AF23" s="192"/>
      <c r="AG23" s="134">
        <v>0</v>
      </c>
      <c r="AH23" s="7">
        <f t="shared" si="12"/>
        <v>3516.6099999999997</v>
      </c>
      <c r="AI23" s="256">
        <v>0</v>
      </c>
      <c r="AJ23" s="256"/>
      <c r="AK23" s="256">
        <v>0</v>
      </c>
      <c r="AL23" s="218">
        <v>171743</v>
      </c>
      <c r="AM23" s="76">
        <f>AL23-AL22</f>
        <v>2520</v>
      </c>
      <c r="AN23" s="202">
        <v>19116</v>
      </c>
      <c r="AO23" s="76">
        <f t="shared" si="8"/>
        <v>0</v>
      </c>
      <c r="AP23" s="90"/>
      <c r="AQ23" s="90"/>
      <c r="AR23" s="17" t="s">
        <v>54</v>
      </c>
    </row>
    <row r="24" spans="2:48" x14ac:dyDescent="0.25">
      <c r="B24" s="8">
        <f t="shared" si="10"/>
        <v>44760</v>
      </c>
      <c r="C24" s="42" t="str">
        <f t="shared" si="2"/>
        <v>Mon</v>
      </c>
      <c r="D24" s="120">
        <v>0.26</v>
      </c>
      <c r="E24" s="120">
        <v>0.99</v>
      </c>
      <c r="F24" s="120">
        <v>0.53</v>
      </c>
      <c r="G24" s="143">
        <f t="shared" si="3"/>
        <v>14863</v>
      </c>
      <c r="H24" s="152">
        <v>0.56100000000000005</v>
      </c>
      <c r="I24" s="95"/>
      <c r="J24" s="22">
        <f t="shared" si="4"/>
        <v>0</v>
      </c>
      <c r="K24" s="150">
        <v>1101790</v>
      </c>
      <c r="L24" s="127">
        <f t="shared" si="9"/>
        <v>9153</v>
      </c>
      <c r="M24" s="26"/>
      <c r="N24" s="26"/>
      <c r="O24" s="22"/>
      <c r="P24" s="22">
        <v>3331</v>
      </c>
      <c r="Q24" s="21">
        <f t="shared" si="5"/>
        <v>0</v>
      </c>
      <c r="R24" s="22">
        <v>3374</v>
      </c>
      <c r="S24" s="21">
        <f t="shared" si="6"/>
        <v>0</v>
      </c>
      <c r="T24" s="103">
        <v>23480</v>
      </c>
      <c r="U24" s="104">
        <v>14957</v>
      </c>
      <c r="V24" s="107">
        <f t="shared" si="13"/>
        <v>38437</v>
      </c>
      <c r="W24" s="109">
        <v>0</v>
      </c>
      <c r="X24" s="103">
        <v>8151</v>
      </c>
      <c r="Y24" s="49">
        <f t="shared" si="1"/>
        <v>8151</v>
      </c>
      <c r="Z24" s="106">
        <v>23.879999999999995</v>
      </c>
      <c r="AA24" s="106">
        <v>23.039999999999964</v>
      </c>
      <c r="AB24" s="106"/>
      <c r="AC24" s="106">
        <v>5.2699999999999818</v>
      </c>
      <c r="AD24" s="247">
        <v>224.08</v>
      </c>
      <c r="AE24" s="243">
        <f t="shared" si="11"/>
        <v>3761.42</v>
      </c>
      <c r="AF24" s="192">
        <v>14.79</v>
      </c>
      <c r="AG24" s="7">
        <v>224.08</v>
      </c>
      <c r="AH24" s="7">
        <f t="shared" si="12"/>
        <v>3740.6899999999996</v>
      </c>
      <c r="AI24" s="256">
        <v>224.08</v>
      </c>
      <c r="AJ24" s="256"/>
      <c r="AK24" s="256">
        <v>224.08</v>
      </c>
      <c r="AL24" s="218">
        <v>174227</v>
      </c>
      <c r="AM24" s="76">
        <f>AL24-AL23</f>
        <v>2484</v>
      </c>
      <c r="AN24" s="202">
        <v>19603</v>
      </c>
      <c r="AO24" s="76">
        <f t="shared" si="8"/>
        <v>487</v>
      </c>
      <c r="AP24" s="90"/>
      <c r="AQ24" s="90"/>
      <c r="AR24" s="17">
        <v>2</v>
      </c>
      <c r="AT24" s="74"/>
    </row>
    <row r="25" spans="2:48" x14ac:dyDescent="0.25">
      <c r="B25" s="8">
        <f t="shared" si="10"/>
        <v>44761</v>
      </c>
      <c r="C25" s="42" t="str">
        <f t="shared" si="2"/>
        <v>Tue</v>
      </c>
      <c r="D25" s="154">
        <v>0.46</v>
      </c>
      <c r="E25" s="154">
        <v>0.46</v>
      </c>
      <c r="F25" s="154">
        <v>0.31240000000000001</v>
      </c>
      <c r="G25" s="143">
        <f t="shared" si="3"/>
        <v>10290.540000000001</v>
      </c>
      <c r="H25" s="152">
        <v>0.55700000000000005</v>
      </c>
      <c r="I25" s="95"/>
      <c r="J25" s="22">
        <f t="shared" si="4"/>
        <v>0</v>
      </c>
      <c r="K25" s="150">
        <v>1125624</v>
      </c>
      <c r="L25" s="127">
        <f t="shared" si="9"/>
        <v>23834</v>
      </c>
      <c r="M25" s="26"/>
      <c r="N25" s="26"/>
      <c r="O25" s="22"/>
      <c r="P25" s="22">
        <v>3331</v>
      </c>
      <c r="Q25" s="21">
        <f t="shared" si="5"/>
        <v>0</v>
      </c>
      <c r="R25" s="22">
        <v>3374</v>
      </c>
      <c r="S25" s="21">
        <f t="shared" si="6"/>
        <v>0</v>
      </c>
      <c r="T25" s="103">
        <v>8139</v>
      </c>
      <c r="U25" s="104">
        <v>13506</v>
      </c>
      <c r="V25" s="107">
        <f t="shared" si="13"/>
        <v>21645</v>
      </c>
      <c r="W25" s="109">
        <v>0</v>
      </c>
      <c r="X25" s="103">
        <v>23233</v>
      </c>
      <c r="Y25" s="49">
        <f t="shared" si="1"/>
        <v>23233</v>
      </c>
      <c r="Z25" s="106">
        <v>18.409999999999997</v>
      </c>
      <c r="AA25" s="106">
        <v>23.639999999999986</v>
      </c>
      <c r="AB25" s="106"/>
      <c r="AC25" s="106">
        <v>23.620000000000118</v>
      </c>
      <c r="AD25" s="251">
        <v>272.17</v>
      </c>
      <c r="AE25" s="243">
        <f t="shared" si="11"/>
        <v>4033.59</v>
      </c>
      <c r="AF25" s="192">
        <v>15.61</v>
      </c>
      <c r="AG25" s="7">
        <v>251.93</v>
      </c>
      <c r="AH25" s="7">
        <f t="shared" si="12"/>
        <v>3992.6199999999994</v>
      </c>
      <c r="AI25" s="256">
        <v>251.93</v>
      </c>
      <c r="AJ25" s="256"/>
      <c r="AK25" s="256">
        <v>251.93</v>
      </c>
      <c r="AL25" s="218">
        <v>177018</v>
      </c>
      <c r="AM25" s="76">
        <f>AL25-AL24</f>
        <v>2791</v>
      </c>
      <c r="AN25" s="202">
        <v>19879</v>
      </c>
      <c r="AO25" s="76">
        <f t="shared" si="8"/>
        <v>276</v>
      </c>
      <c r="AP25" s="90"/>
      <c r="AQ25" s="90"/>
      <c r="AR25" s="17">
        <v>2</v>
      </c>
      <c r="AT25" s="74"/>
    </row>
    <row r="26" spans="2:48" x14ac:dyDescent="0.25">
      <c r="B26" s="8">
        <f t="shared" si="10"/>
        <v>44762</v>
      </c>
      <c r="C26" s="42" t="str">
        <f t="shared" si="2"/>
        <v>Wed</v>
      </c>
      <c r="D26" s="120">
        <v>0.47</v>
      </c>
      <c r="E26" s="120">
        <v>0.51</v>
      </c>
      <c r="F26" s="120">
        <v>0.27</v>
      </c>
      <c r="G26" s="143">
        <f t="shared" si="3"/>
        <v>10437.5</v>
      </c>
      <c r="H26" s="152">
        <v>0.55400000000000005</v>
      </c>
      <c r="I26" s="95"/>
      <c r="J26" s="22">
        <f t="shared" si="4"/>
        <v>0</v>
      </c>
      <c r="K26" s="150">
        <v>1143323</v>
      </c>
      <c r="L26" s="127">
        <f t="shared" si="9"/>
        <v>17699</v>
      </c>
      <c r="M26" s="26"/>
      <c r="N26" s="26"/>
      <c r="O26" s="22"/>
      <c r="P26" s="22">
        <v>3331</v>
      </c>
      <c r="Q26" s="21">
        <f t="shared" si="5"/>
        <v>0</v>
      </c>
      <c r="R26" s="22">
        <v>3374</v>
      </c>
      <c r="S26" s="21">
        <f t="shared" si="6"/>
        <v>0</v>
      </c>
      <c r="T26" s="103">
        <v>4521</v>
      </c>
      <c r="U26" s="104">
        <v>14589</v>
      </c>
      <c r="V26" s="107">
        <f t="shared" si="13"/>
        <v>19110</v>
      </c>
      <c r="W26" s="109">
        <v>0</v>
      </c>
      <c r="X26" s="103">
        <v>19302</v>
      </c>
      <c r="Y26" s="49">
        <f t="shared" si="1"/>
        <v>19302</v>
      </c>
      <c r="Z26" s="106">
        <v>12.869999999999976</v>
      </c>
      <c r="AA26" s="106">
        <v>22.680000000000064</v>
      </c>
      <c r="AB26" s="106"/>
      <c r="AC26" s="106">
        <v>22.679999999999836</v>
      </c>
      <c r="AD26" s="252">
        <v>270.02999999999997</v>
      </c>
      <c r="AE26" s="243">
        <f t="shared" si="11"/>
        <v>4303.62</v>
      </c>
      <c r="AF26" s="192">
        <v>16.100000000000001</v>
      </c>
      <c r="AG26" s="7">
        <v>270.13</v>
      </c>
      <c r="AH26" s="7">
        <f t="shared" si="12"/>
        <v>4262.7499999999991</v>
      </c>
      <c r="AI26" s="256">
        <v>270.13</v>
      </c>
      <c r="AJ26" s="256"/>
      <c r="AK26" s="256">
        <v>270.13</v>
      </c>
      <c r="AL26" s="218">
        <v>181635</v>
      </c>
      <c r="AM26" s="76">
        <f>AL26-AL25</f>
        <v>4617</v>
      </c>
      <c r="AN26" s="202">
        <v>20188</v>
      </c>
      <c r="AO26" s="76">
        <f t="shared" si="8"/>
        <v>309</v>
      </c>
      <c r="AP26" s="90"/>
      <c r="AQ26" s="90"/>
      <c r="AR26" s="17">
        <v>2</v>
      </c>
      <c r="AT26" s="74"/>
    </row>
    <row r="27" spans="2:48" x14ac:dyDescent="0.25">
      <c r="B27" s="8">
        <f t="shared" si="10"/>
        <v>44763</v>
      </c>
      <c r="C27" s="42" t="str">
        <f t="shared" si="2"/>
        <v>Thu</v>
      </c>
      <c r="D27" s="120">
        <v>0.56000000000000005</v>
      </c>
      <c r="E27" s="120">
        <v>0.5</v>
      </c>
      <c r="F27" s="120">
        <v>0.44</v>
      </c>
      <c r="G27" s="143">
        <f t="shared" si="3"/>
        <v>12525</v>
      </c>
      <c r="H27" s="152">
        <v>0.55600000000000005</v>
      </c>
      <c r="I27" s="95"/>
      <c r="J27" s="22">
        <f t="shared" si="4"/>
        <v>0</v>
      </c>
      <c r="K27" s="150">
        <v>1166805</v>
      </c>
      <c r="L27" s="127">
        <f t="shared" si="9"/>
        <v>23482</v>
      </c>
      <c r="M27" s="26"/>
      <c r="N27" s="26"/>
      <c r="O27" s="22"/>
      <c r="P27" s="22">
        <v>3331</v>
      </c>
      <c r="Q27" s="21">
        <f t="shared" si="5"/>
        <v>0</v>
      </c>
      <c r="R27" s="22">
        <v>3374</v>
      </c>
      <c r="S27" s="21">
        <f t="shared" si="6"/>
        <v>0</v>
      </c>
      <c r="T27" s="103">
        <v>6571</v>
      </c>
      <c r="U27" s="104">
        <v>12646</v>
      </c>
      <c r="V27" s="107">
        <f t="shared" si="13"/>
        <v>19217</v>
      </c>
      <c r="W27" s="109">
        <v>0</v>
      </c>
      <c r="X27" s="103">
        <v>23482</v>
      </c>
      <c r="Y27" s="49">
        <f t="shared" si="1"/>
        <v>23482</v>
      </c>
      <c r="Z27" s="106">
        <v>16.189999999999998</v>
      </c>
      <c r="AA27" s="106">
        <v>21.539999999999964</v>
      </c>
      <c r="AB27" s="106"/>
      <c r="AC27" s="106">
        <v>22.730000000000018</v>
      </c>
      <c r="AD27" s="252">
        <v>290.51</v>
      </c>
      <c r="AE27" s="243">
        <f t="shared" si="11"/>
        <v>4594.13</v>
      </c>
      <c r="AF27" s="192">
        <v>17.11</v>
      </c>
      <c r="AG27" s="136">
        <v>290.51</v>
      </c>
      <c r="AH27" s="7">
        <f t="shared" si="12"/>
        <v>4553.2599999999993</v>
      </c>
      <c r="AI27" s="256">
        <v>290.51</v>
      </c>
      <c r="AJ27" s="256"/>
      <c r="AK27" s="256">
        <v>290.51</v>
      </c>
      <c r="AL27" s="218">
        <v>184988</v>
      </c>
      <c r="AM27" s="76">
        <f t="shared" si="7"/>
        <v>3353</v>
      </c>
      <c r="AN27" s="202">
        <v>20548</v>
      </c>
      <c r="AO27" s="76">
        <f t="shared" si="8"/>
        <v>360</v>
      </c>
      <c r="AP27" s="90"/>
      <c r="AQ27" s="90"/>
      <c r="AR27" s="17">
        <v>2</v>
      </c>
      <c r="AT27" s="74"/>
    </row>
    <row r="28" spans="2:48" ht="15" x14ac:dyDescent="0.25">
      <c r="B28" s="8">
        <f t="shared" si="10"/>
        <v>44764</v>
      </c>
      <c r="C28" s="42" t="str">
        <f t="shared" si="2"/>
        <v>Fri</v>
      </c>
      <c r="D28" s="120">
        <v>0.25</v>
      </c>
      <c r="E28" s="120">
        <v>0.27</v>
      </c>
      <c r="F28" s="120">
        <v>0.89</v>
      </c>
      <c r="G28" s="143">
        <f t="shared" si="3"/>
        <v>11773.5</v>
      </c>
      <c r="H28" s="152">
        <v>0.55800000000000005</v>
      </c>
      <c r="I28" s="95"/>
      <c r="J28" s="22">
        <f t="shared" si="4"/>
        <v>0</v>
      </c>
      <c r="K28" s="150">
        <v>1197037</v>
      </c>
      <c r="L28" s="127">
        <f t="shared" si="9"/>
        <v>30232</v>
      </c>
      <c r="M28" s="26"/>
      <c r="N28" s="26"/>
      <c r="O28" s="22"/>
      <c r="P28" s="22">
        <v>3331</v>
      </c>
      <c r="Q28" s="21">
        <f t="shared" si="5"/>
        <v>0</v>
      </c>
      <c r="R28" s="22">
        <v>3374</v>
      </c>
      <c r="S28" s="21">
        <f t="shared" si="6"/>
        <v>0</v>
      </c>
      <c r="T28" s="103">
        <v>9171</v>
      </c>
      <c r="U28" s="104">
        <v>11178</v>
      </c>
      <c r="V28" s="107">
        <f t="shared" si="13"/>
        <v>20349</v>
      </c>
      <c r="W28" s="109">
        <v>0</v>
      </c>
      <c r="X28" s="103">
        <v>26795</v>
      </c>
      <c r="Y28" s="49">
        <f t="shared" si="1"/>
        <v>26795</v>
      </c>
      <c r="Z28" s="106">
        <v>18.310000000000002</v>
      </c>
      <c r="AA28" s="106">
        <v>20.379999999999995</v>
      </c>
      <c r="AB28" s="106"/>
      <c r="AC28" s="106">
        <v>23.840000000000146</v>
      </c>
      <c r="AD28" s="247">
        <v>288.95</v>
      </c>
      <c r="AE28" s="243">
        <f t="shared" si="11"/>
        <v>4883.08</v>
      </c>
      <c r="AF28" s="189">
        <v>16.52</v>
      </c>
      <c r="AG28" s="136">
        <v>288.93</v>
      </c>
      <c r="AH28" s="7">
        <f t="shared" si="12"/>
        <v>4842.1899999999996</v>
      </c>
      <c r="AI28" s="256">
        <v>288.93</v>
      </c>
      <c r="AJ28" s="256"/>
      <c r="AK28" s="256">
        <v>288.93</v>
      </c>
      <c r="AL28" s="218">
        <v>188686</v>
      </c>
      <c r="AM28" s="76">
        <f t="shared" si="7"/>
        <v>3698</v>
      </c>
      <c r="AN28" s="202">
        <v>20548</v>
      </c>
      <c r="AO28" s="76">
        <f t="shared" si="8"/>
        <v>0</v>
      </c>
      <c r="AP28" s="90"/>
      <c r="AQ28" s="90"/>
      <c r="AR28" s="17">
        <v>2</v>
      </c>
      <c r="AT28" s="74"/>
    </row>
    <row r="29" spans="2:48" ht="15" x14ac:dyDescent="0.25">
      <c r="B29" s="8">
        <f t="shared" si="10"/>
        <v>44765</v>
      </c>
      <c r="C29" s="42" t="str">
        <f t="shared" si="2"/>
        <v>Sat</v>
      </c>
      <c r="D29" s="120">
        <v>0.15</v>
      </c>
      <c r="E29" s="120">
        <v>0.18</v>
      </c>
      <c r="F29" s="120">
        <v>0.12</v>
      </c>
      <c r="G29" s="143">
        <f t="shared" si="3"/>
        <v>3757.5</v>
      </c>
      <c r="H29" s="152">
        <v>0.55800000000000005</v>
      </c>
      <c r="I29" s="95"/>
      <c r="J29" s="22">
        <f t="shared" si="4"/>
        <v>0</v>
      </c>
      <c r="K29" s="150">
        <v>1224349</v>
      </c>
      <c r="L29" s="127">
        <f t="shared" si="9"/>
        <v>27312</v>
      </c>
      <c r="M29" s="26"/>
      <c r="N29" s="26"/>
      <c r="O29" s="22"/>
      <c r="P29" s="22">
        <v>3331</v>
      </c>
      <c r="Q29" s="21">
        <f t="shared" si="5"/>
        <v>0</v>
      </c>
      <c r="R29" s="22">
        <v>3374</v>
      </c>
      <c r="S29" s="21">
        <f t="shared" si="6"/>
        <v>0</v>
      </c>
      <c r="T29" s="77">
        <v>12067</v>
      </c>
      <c r="U29" s="104">
        <v>0</v>
      </c>
      <c r="V29" s="107">
        <f t="shared" si="13"/>
        <v>12067</v>
      </c>
      <c r="W29" s="109">
        <v>0</v>
      </c>
      <c r="X29" s="103">
        <v>30749</v>
      </c>
      <c r="Y29" s="49">
        <f t="shared" si="1"/>
        <v>30749</v>
      </c>
      <c r="Z29" s="106">
        <v>22.970000000000027</v>
      </c>
      <c r="AA29" s="106">
        <v>0</v>
      </c>
      <c r="AB29" s="106"/>
      <c r="AC29" s="106">
        <v>23.629999999999882</v>
      </c>
      <c r="AD29" s="247">
        <v>257.08</v>
      </c>
      <c r="AE29" s="243">
        <f t="shared" si="11"/>
        <v>5140.16</v>
      </c>
      <c r="AF29" s="189">
        <v>16.38</v>
      </c>
      <c r="AG29" s="136">
        <v>279.08999999999997</v>
      </c>
      <c r="AH29" s="7">
        <f t="shared" si="12"/>
        <v>5121.28</v>
      </c>
      <c r="AI29" s="256">
        <v>279.08999999999997</v>
      </c>
      <c r="AJ29" s="256"/>
      <c r="AK29" s="256">
        <v>279.08999999999997</v>
      </c>
      <c r="AL29" s="218">
        <v>191364</v>
      </c>
      <c r="AM29" s="76">
        <f t="shared" si="7"/>
        <v>2678</v>
      </c>
      <c r="AN29" s="202">
        <v>20548</v>
      </c>
      <c r="AO29" s="76">
        <f t="shared" si="8"/>
        <v>0</v>
      </c>
      <c r="AP29" s="90"/>
      <c r="AQ29" s="90"/>
      <c r="AR29" s="17">
        <v>2</v>
      </c>
      <c r="AT29" s="74"/>
    </row>
    <row r="30" spans="2:48" ht="15" x14ac:dyDescent="0.25">
      <c r="B30" s="8">
        <f t="shared" si="10"/>
        <v>44766</v>
      </c>
      <c r="C30" s="42" t="str">
        <f t="shared" si="2"/>
        <v>Sun</v>
      </c>
      <c r="D30" s="120">
        <v>0.22</v>
      </c>
      <c r="E30" s="120">
        <v>0.27</v>
      </c>
      <c r="F30" s="120">
        <v>0.28000000000000003</v>
      </c>
      <c r="G30" s="143">
        <f t="shared" si="3"/>
        <v>6429.5</v>
      </c>
      <c r="H30" s="152">
        <v>0.56000000000000005</v>
      </c>
      <c r="I30" s="95"/>
      <c r="J30" s="22">
        <f t="shared" si="4"/>
        <v>0</v>
      </c>
      <c r="K30" s="150">
        <v>1246772</v>
      </c>
      <c r="L30" s="127">
        <f t="shared" si="9"/>
        <v>22423</v>
      </c>
      <c r="M30" s="26"/>
      <c r="N30" s="26"/>
      <c r="O30" s="22"/>
      <c r="P30" s="22">
        <v>3331</v>
      </c>
      <c r="Q30" s="21">
        <f t="shared" ref="Q30:Q37" si="14">P30-P29</f>
        <v>0</v>
      </c>
      <c r="R30" s="22">
        <v>3374</v>
      </c>
      <c r="S30" s="21">
        <f>R30-R29</f>
        <v>0</v>
      </c>
      <c r="T30" s="77">
        <v>1435</v>
      </c>
      <c r="U30" s="104">
        <v>0</v>
      </c>
      <c r="V30" s="107">
        <f t="shared" si="13"/>
        <v>1435</v>
      </c>
      <c r="W30" s="109">
        <v>0</v>
      </c>
      <c r="X30" s="103">
        <v>14615</v>
      </c>
      <c r="Y30" s="49">
        <f t="shared" si="1"/>
        <v>14615</v>
      </c>
      <c r="Z30" s="106">
        <v>2.25</v>
      </c>
      <c r="AA30" s="106">
        <v>0</v>
      </c>
      <c r="AB30" s="106"/>
      <c r="AC30" s="106">
        <v>17.25</v>
      </c>
      <c r="AD30" s="252"/>
      <c r="AE30" s="243">
        <f t="shared" si="11"/>
        <v>5140.16</v>
      </c>
      <c r="AF30" s="189"/>
      <c r="AG30" s="7">
        <v>0</v>
      </c>
      <c r="AH30" s="7">
        <f t="shared" si="12"/>
        <v>5121.28</v>
      </c>
      <c r="AI30" s="256">
        <v>0</v>
      </c>
      <c r="AJ30" s="256"/>
      <c r="AK30" s="256">
        <v>0</v>
      </c>
      <c r="AL30" s="218">
        <v>193948</v>
      </c>
      <c r="AM30" s="76">
        <f t="shared" si="7"/>
        <v>2584</v>
      </c>
      <c r="AN30" s="202">
        <v>21514</v>
      </c>
      <c r="AO30" s="76">
        <f t="shared" si="8"/>
        <v>966</v>
      </c>
      <c r="AP30" s="90"/>
      <c r="AQ30" s="90"/>
      <c r="AR30" s="17" t="s">
        <v>54</v>
      </c>
    </row>
    <row r="31" spans="2:48" ht="15" x14ac:dyDescent="0.25">
      <c r="B31" s="8">
        <f t="shared" si="10"/>
        <v>44767</v>
      </c>
      <c r="C31" s="42" t="str">
        <f t="shared" si="2"/>
        <v>Mon</v>
      </c>
      <c r="D31" s="118">
        <v>0.45</v>
      </c>
      <c r="E31" s="118">
        <v>0.15</v>
      </c>
      <c r="F31" s="122">
        <v>0.44</v>
      </c>
      <c r="G31" s="143">
        <f t="shared" si="3"/>
        <v>8684</v>
      </c>
      <c r="H31" s="155">
        <v>0.56299999999999994</v>
      </c>
      <c r="I31" s="95"/>
      <c r="J31" s="22">
        <f t="shared" si="4"/>
        <v>0</v>
      </c>
      <c r="K31" s="150">
        <v>1255676</v>
      </c>
      <c r="L31" s="127">
        <f t="shared" si="9"/>
        <v>8904</v>
      </c>
      <c r="M31" s="26"/>
      <c r="N31" s="26"/>
      <c r="O31" s="22"/>
      <c r="P31" s="22">
        <v>3331</v>
      </c>
      <c r="Q31" s="21">
        <f t="shared" si="14"/>
        <v>0</v>
      </c>
      <c r="R31" s="22">
        <v>3374</v>
      </c>
      <c r="S31" s="21">
        <f t="shared" si="6"/>
        <v>0</v>
      </c>
      <c r="T31" s="77">
        <v>6345</v>
      </c>
      <c r="U31" s="104">
        <v>0</v>
      </c>
      <c r="V31" s="107">
        <f t="shared" si="13"/>
        <v>6345</v>
      </c>
      <c r="W31" s="109">
        <v>0</v>
      </c>
      <c r="X31" s="103">
        <v>17230</v>
      </c>
      <c r="Y31" s="49">
        <f t="shared" si="1"/>
        <v>17230</v>
      </c>
      <c r="Z31" s="106">
        <v>13.829999999999984</v>
      </c>
      <c r="AA31" s="106">
        <v>0</v>
      </c>
      <c r="AB31" s="106"/>
      <c r="AC31" s="106">
        <v>23.8900000000001</v>
      </c>
      <c r="AD31" s="248">
        <v>192.42</v>
      </c>
      <c r="AE31" s="243">
        <f t="shared" si="11"/>
        <v>5332.58</v>
      </c>
      <c r="AF31" s="189">
        <v>16.239999999999998</v>
      </c>
      <c r="AG31" s="7">
        <v>192.45</v>
      </c>
      <c r="AH31" s="7">
        <f t="shared" si="12"/>
        <v>5313.73</v>
      </c>
      <c r="AI31" s="256">
        <v>192.45</v>
      </c>
      <c r="AJ31" s="256"/>
      <c r="AK31" s="256">
        <v>192.45</v>
      </c>
      <c r="AL31" s="218">
        <v>196678</v>
      </c>
      <c r="AM31" s="76">
        <f t="shared" si="7"/>
        <v>2730</v>
      </c>
      <c r="AN31" s="202">
        <v>21734</v>
      </c>
      <c r="AO31" s="76">
        <f t="shared" si="8"/>
        <v>220</v>
      </c>
      <c r="AP31" s="90"/>
      <c r="AQ31" s="90"/>
      <c r="AR31" s="17">
        <v>2</v>
      </c>
    </row>
    <row r="32" spans="2:48" ht="15" x14ac:dyDescent="0.25">
      <c r="B32" s="8">
        <f t="shared" si="10"/>
        <v>44768</v>
      </c>
      <c r="C32" s="42" t="str">
        <f t="shared" si="2"/>
        <v>Tue</v>
      </c>
      <c r="D32" s="118">
        <v>0.44</v>
      </c>
      <c r="E32" s="118">
        <v>0.23</v>
      </c>
      <c r="F32" s="122">
        <v>0.3</v>
      </c>
      <c r="G32" s="143">
        <f t="shared" si="3"/>
        <v>8099.5</v>
      </c>
      <c r="H32" s="155">
        <v>0.56299999999999994</v>
      </c>
      <c r="I32" s="95"/>
      <c r="J32" s="22">
        <f t="shared" si="4"/>
        <v>0</v>
      </c>
      <c r="K32" s="150">
        <v>1277042</v>
      </c>
      <c r="L32" s="127">
        <f t="shared" si="9"/>
        <v>21366</v>
      </c>
      <c r="M32" s="26"/>
      <c r="N32" s="26"/>
      <c r="O32" s="22"/>
      <c r="P32" s="22">
        <v>3331</v>
      </c>
      <c r="Q32" s="21">
        <f t="shared" si="14"/>
        <v>0</v>
      </c>
      <c r="R32" s="22">
        <v>3374</v>
      </c>
      <c r="S32" s="21">
        <f t="shared" si="6"/>
        <v>0</v>
      </c>
      <c r="T32" s="77">
        <v>8531</v>
      </c>
      <c r="U32" s="104">
        <v>0</v>
      </c>
      <c r="V32" s="107">
        <f t="shared" si="13"/>
        <v>8531</v>
      </c>
      <c r="W32" s="109">
        <v>0</v>
      </c>
      <c r="X32" s="103">
        <v>20923</v>
      </c>
      <c r="Y32" s="49">
        <f t="shared" si="1"/>
        <v>20923</v>
      </c>
      <c r="Z32" s="106">
        <v>18.439999999999998</v>
      </c>
      <c r="AA32" s="106">
        <v>0</v>
      </c>
      <c r="AB32" s="106"/>
      <c r="AC32" s="106">
        <v>23.899999999999864</v>
      </c>
      <c r="AD32" s="248">
        <v>216.4</v>
      </c>
      <c r="AE32" s="243">
        <f t="shared" si="11"/>
        <v>5548.98</v>
      </c>
      <c r="AF32" s="189">
        <v>15.16</v>
      </c>
      <c r="AG32" s="7">
        <v>216.4</v>
      </c>
      <c r="AH32" s="7">
        <f t="shared" si="12"/>
        <v>5530.1299999999992</v>
      </c>
      <c r="AI32" s="256">
        <v>216.4</v>
      </c>
      <c r="AJ32" s="256"/>
      <c r="AK32" s="256">
        <v>216.4</v>
      </c>
      <c r="AL32" s="218">
        <v>199388</v>
      </c>
      <c r="AM32" s="76">
        <f t="shared" si="7"/>
        <v>2710</v>
      </c>
      <c r="AN32" s="202">
        <v>22031</v>
      </c>
      <c r="AO32" s="76">
        <f t="shared" si="8"/>
        <v>297</v>
      </c>
      <c r="AP32" s="90"/>
      <c r="AQ32" s="90"/>
      <c r="AR32" s="17">
        <v>2</v>
      </c>
    </row>
    <row r="33" spans="2:44" ht="15" x14ac:dyDescent="0.25">
      <c r="B33" s="8">
        <f t="shared" si="10"/>
        <v>44769</v>
      </c>
      <c r="C33" s="42" t="str">
        <f t="shared" si="2"/>
        <v>Wed</v>
      </c>
      <c r="D33" s="118">
        <v>0.5</v>
      </c>
      <c r="E33" s="118">
        <v>0.12</v>
      </c>
      <c r="F33" s="122">
        <v>0.26</v>
      </c>
      <c r="G33" s="143">
        <f t="shared" si="3"/>
        <v>7348</v>
      </c>
      <c r="H33" s="155">
        <v>0.56100000000000005</v>
      </c>
      <c r="I33" s="95"/>
      <c r="J33" s="22">
        <f t="shared" si="4"/>
        <v>0</v>
      </c>
      <c r="K33" s="150">
        <v>1295132</v>
      </c>
      <c r="L33" s="127">
        <f t="shared" si="9"/>
        <v>18090</v>
      </c>
      <c r="M33" s="26"/>
      <c r="N33" s="26"/>
      <c r="O33" s="22"/>
      <c r="P33" s="22">
        <v>3331</v>
      </c>
      <c r="Q33" s="21">
        <f t="shared" si="14"/>
        <v>0</v>
      </c>
      <c r="R33" s="22">
        <v>3374</v>
      </c>
      <c r="S33" s="21">
        <f t="shared" si="6"/>
        <v>0</v>
      </c>
      <c r="T33" s="77">
        <v>12221</v>
      </c>
      <c r="U33" s="104">
        <v>1438</v>
      </c>
      <c r="V33" s="107">
        <f t="shared" si="13"/>
        <v>13659</v>
      </c>
      <c r="W33" s="109">
        <v>0</v>
      </c>
      <c r="X33" s="103">
        <v>18015</v>
      </c>
      <c r="Y33" s="49">
        <f t="shared" si="1"/>
        <v>18015</v>
      </c>
      <c r="Z33" s="106">
        <v>19.810000000000002</v>
      </c>
      <c r="AA33" s="106">
        <v>3.7999999999999545</v>
      </c>
      <c r="AB33" s="106"/>
      <c r="AC33" s="106">
        <v>22.289999999999964</v>
      </c>
      <c r="AD33" s="248">
        <v>239.88</v>
      </c>
      <c r="AE33" s="243">
        <f t="shared" si="11"/>
        <v>5788.86</v>
      </c>
      <c r="AF33" s="189">
        <v>13.25</v>
      </c>
      <c r="AG33" s="7">
        <v>239.88</v>
      </c>
      <c r="AH33" s="7">
        <f t="shared" si="12"/>
        <v>5770.0099999999993</v>
      </c>
      <c r="AI33" s="256">
        <v>239.88</v>
      </c>
      <c r="AJ33" s="256"/>
      <c r="AK33" s="256">
        <v>239.88</v>
      </c>
      <c r="AL33" s="218">
        <v>202127</v>
      </c>
      <c r="AM33" s="76">
        <f t="shared" si="7"/>
        <v>2739</v>
      </c>
      <c r="AN33" s="202">
        <v>22339</v>
      </c>
      <c r="AO33" s="76">
        <f t="shared" si="8"/>
        <v>308</v>
      </c>
      <c r="AP33" s="90"/>
      <c r="AQ33" s="90"/>
      <c r="AR33" s="17">
        <v>2</v>
      </c>
    </row>
    <row r="34" spans="2:44" ht="15" x14ac:dyDescent="0.25">
      <c r="B34" s="8">
        <f t="shared" si="10"/>
        <v>44770</v>
      </c>
      <c r="C34" s="42" t="str">
        <f t="shared" si="2"/>
        <v>Thu</v>
      </c>
      <c r="D34" s="156">
        <v>0.15</v>
      </c>
      <c r="E34" s="156">
        <v>0.32</v>
      </c>
      <c r="F34" s="157">
        <v>0.25</v>
      </c>
      <c r="G34" s="143">
        <f t="shared" si="3"/>
        <v>6012</v>
      </c>
      <c r="H34" s="155">
        <v>0.55600000000000005</v>
      </c>
      <c r="I34" s="95"/>
      <c r="J34" s="22">
        <f t="shared" si="4"/>
        <v>0</v>
      </c>
      <c r="K34" s="150">
        <v>1315515</v>
      </c>
      <c r="L34" s="127">
        <f t="shared" si="9"/>
        <v>20383</v>
      </c>
      <c r="M34" s="24"/>
      <c r="N34" s="24"/>
      <c r="O34" s="22"/>
      <c r="P34" s="22">
        <v>3331</v>
      </c>
      <c r="Q34" s="21">
        <f t="shared" si="14"/>
        <v>0</v>
      </c>
      <c r="R34" s="22">
        <v>3374</v>
      </c>
      <c r="S34" s="21">
        <f>R34-R33</f>
        <v>0</v>
      </c>
      <c r="T34" s="77">
        <v>7374</v>
      </c>
      <c r="U34" s="104">
        <v>0</v>
      </c>
      <c r="V34" s="107">
        <f t="shared" si="13"/>
        <v>7374</v>
      </c>
      <c r="W34" s="109">
        <v>0</v>
      </c>
      <c r="X34" s="103">
        <v>19682</v>
      </c>
      <c r="Y34" s="49">
        <f t="shared" si="1"/>
        <v>19682</v>
      </c>
      <c r="Z34" s="106">
        <v>18.699999999999989</v>
      </c>
      <c r="AA34" s="106">
        <v>0</v>
      </c>
      <c r="AB34" s="106"/>
      <c r="AC34" s="106">
        <v>22.160000000000082</v>
      </c>
      <c r="AD34" s="248">
        <v>324.89</v>
      </c>
      <c r="AE34" s="243">
        <f t="shared" si="11"/>
        <v>6113.75</v>
      </c>
      <c r="AF34" s="189">
        <v>11.81</v>
      </c>
      <c r="AG34" s="7">
        <v>324.94</v>
      </c>
      <c r="AH34" s="7">
        <f t="shared" si="12"/>
        <v>6094.9499999999989</v>
      </c>
      <c r="AI34" s="256">
        <v>324.94</v>
      </c>
      <c r="AJ34" s="256"/>
      <c r="AK34" s="256">
        <v>324.94</v>
      </c>
      <c r="AL34" s="218">
        <v>204866</v>
      </c>
      <c r="AM34" s="76">
        <f t="shared" si="7"/>
        <v>2739</v>
      </c>
      <c r="AN34" s="202">
        <v>22638</v>
      </c>
      <c r="AO34" s="76">
        <f t="shared" si="8"/>
        <v>299</v>
      </c>
      <c r="AP34" s="90"/>
      <c r="AQ34" s="90"/>
      <c r="AR34" s="17">
        <v>2</v>
      </c>
    </row>
    <row r="35" spans="2:44" ht="15" x14ac:dyDescent="0.25">
      <c r="B35" s="8">
        <f t="shared" si="10"/>
        <v>44771</v>
      </c>
      <c r="C35" s="42" t="str">
        <f t="shared" si="2"/>
        <v>Fri</v>
      </c>
      <c r="D35" s="118">
        <v>0.36</v>
      </c>
      <c r="E35" s="118">
        <v>0.28000000000000003</v>
      </c>
      <c r="F35" s="122">
        <v>0.22</v>
      </c>
      <c r="G35" s="143">
        <f t="shared" si="3"/>
        <v>7181</v>
      </c>
      <c r="H35" s="155">
        <v>0.55400000000000005</v>
      </c>
      <c r="I35" s="95"/>
      <c r="J35" s="22">
        <f t="shared" si="4"/>
        <v>0</v>
      </c>
      <c r="K35" s="150">
        <v>1334679</v>
      </c>
      <c r="L35" s="127">
        <f t="shared" si="9"/>
        <v>19164</v>
      </c>
      <c r="M35" s="24"/>
      <c r="N35" s="24"/>
      <c r="O35" s="22"/>
      <c r="P35" s="22">
        <v>3331</v>
      </c>
      <c r="Q35" s="21">
        <f t="shared" si="14"/>
        <v>0</v>
      </c>
      <c r="R35" s="22">
        <v>3374</v>
      </c>
      <c r="S35" s="21">
        <f>R35-R34</f>
        <v>0</v>
      </c>
      <c r="T35" s="77">
        <v>7515</v>
      </c>
      <c r="U35" s="76">
        <v>0</v>
      </c>
      <c r="V35" s="108">
        <f t="shared" si="13"/>
        <v>7515</v>
      </c>
      <c r="W35" s="109">
        <v>0</v>
      </c>
      <c r="X35" s="77">
        <v>18710</v>
      </c>
      <c r="Y35" s="49">
        <f t="shared" si="1"/>
        <v>18710</v>
      </c>
      <c r="Z35" s="44">
        <v>14.830000000000041</v>
      </c>
      <c r="AA35" s="44">
        <v>0</v>
      </c>
      <c r="AB35" s="44"/>
      <c r="AC35" s="106">
        <v>23.839999999999918</v>
      </c>
      <c r="AD35" s="248">
        <v>331.1</v>
      </c>
      <c r="AE35" s="243">
        <f t="shared" si="11"/>
        <v>6444.85</v>
      </c>
      <c r="AF35" s="189">
        <v>13.74</v>
      </c>
      <c r="AG35" s="7">
        <v>331.1</v>
      </c>
      <c r="AH35" s="7">
        <f t="shared" si="12"/>
        <v>6426.0499999999993</v>
      </c>
      <c r="AI35" s="256">
        <v>331.1</v>
      </c>
      <c r="AJ35" s="256"/>
      <c r="AK35" s="256">
        <v>331.1</v>
      </c>
      <c r="AL35" s="218">
        <v>207858</v>
      </c>
      <c r="AM35" s="76">
        <f t="shared" si="7"/>
        <v>2992</v>
      </c>
      <c r="AN35" s="202">
        <v>22638</v>
      </c>
      <c r="AO35" s="76">
        <f t="shared" si="8"/>
        <v>0</v>
      </c>
      <c r="AP35" s="90"/>
      <c r="AQ35" s="90"/>
      <c r="AR35" s="17">
        <v>2</v>
      </c>
    </row>
    <row r="36" spans="2:44" ht="15" x14ac:dyDescent="0.25">
      <c r="B36" s="8">
        <f t="shared" si="10"/>
        <v>44772</v>
      </c>
      <c r="C36" s="42" t="str">
        <f t="shared" si="2"/>
        <v>Sat</v>
      </c>
      <c r="D36" s="118">
        <v>0.21</v>
      </c>
      <c r="E36" s="118">
        <v>0.23</v>
      </c>
      <c r="F36" s="122">
        <v>0.42</v>
      </c>
      <c r="G36" s="143">
        <f t="shared" si="3"/>
        <v>7181</v>
      </c>
      <c r="H36" s="155">
        <v>0.55400000000000005</v>
      </c>
      <c r="I36" s="95"/>
      <c r="J36" s="22">
        <f t="shared" si="4"/>
        <v>0</v>
      </c>
      <c r="K36" s="150">
        <v>1350840</v>
      </c>
      <c r="L36" s="127">
        <f t="shared" si="9"/>
        <v>16161</v>
      </c>
      <c r="M36" s="26"/>
      <c r="N36" s="26"/>
      <c r="O36" s="22"/>
      <c r="P36" s="22">
        <v>3331</v>
      </c>
      <c r="Q36" s="21">
        <f t="shared" si="14"/>
        <v>0</v>
      </c>
      <c r="R36" s="22">
        <v>3374</v>
      </c>
      <c r="S36" s="21">
        <f>R36-R35</f>
        <v>0</v>
      </c>
      <c r="T36" s="77">
        <v>2829</v>
      </c>
      <c r="U36" s="84">
        <v>0</v>
      </c>
      <c r="V36" s="108">
        <f t="shared" si="13"/>
        <v>2829</v>
      </c>
      <c r="W36" s="109">
        <v>0</v>
      </c>
      <c r="X36" s="77">
        <v>17316</v>
      </c>
      <c r="Y36" s="49">
        <f t="shared" si="1"/>
        <v>17316</v>
      </c>
      <c r="Z36" s="44">
        <v>8.4799999999999613</v>
      </c>
      <c r="AA36" s="44">
        <v>0</v>
      </c>
      <c r="AB36" s="44"/>
      <c r="AC36" s="106">
        <v>20.710000000000036</v>
      </c>
      <c r="AD36" s="248">
        <v>258.48</v>
      </c>
      <c r="AE36" s="243">
        <f t="shared" si="11"/>
        <v>6703.33</v>
      </c>
      <c r="AF36" s="189">
        <v>14.49</v>
      </c>
      <c r="AG36" s="7">
        <v>258.48</v>
      </c>
      <c r="AH36" s="7">
        <f t="shared" si="12"/>
        <v>6684.5299999999988</v>
      </c>
      <c r="AI36" s="256">
        <v>258.48</v>
      </c>
      <c r="AJ36" s="256"/>
      <c r="AK36" s="256">
        <v>258.48</v>
      </c>
      <c r="AL36" s="218">
        <v>210303</v>
      </c>
      <c r="AM36" s="76">
        <v>2445</v>
      </c>
      <c r="AN36" s="202">
        <v>23147</v>
      </c>
      <c r="AO36" s="76">
        <f t="shared" si="8"/>
        <v>509</v>
      </c>
      <c r="AP36" s="90"/>
      <c r="AQ36" s="90"/>
      <c r="AR36" s="17">
        <v>2</v>
      </c>
    </row>
    <row r="37" spans="2:44" x14ac:dyDescent="0.25">
      <c r="B37" s="8">
        <f t="shared" si="10"/>
        <v>44773</v>
      </c>
      <c r="C37" s="42" t="str">
        <f t="shared" si="2"/>
        <v>Sun</v>
      </c>
      <c r="D37" s="158">
        <v>0.41</v>
      </c>
      <c r="E37" s="158">
        <v>0.57999999999999996</v>
      </c>
      <c r="F37" s="159">
        <v>0.3</v>
      </c>
      <c r="G37" s="160">
        <f t="shared" si="3"/>
        <v>10771.5</v>
      </c>
      <c r="H37" s="161">
        <v>0.55900000000000005</v>
      </c>
      <c r="I37" s="95"/>
      <c r="J37" s="22"/>
      <c r="K37" s="162">
        <v>1367245</v>
      </c>
      <c r="L37" s="127">
        <f t="shared" si="9"/>
        <v>16405</v>
      </c>
      <c r="M37" s="26"/>
      <c r="N37" s="26"/>
      <c r="O37" s="22"/>
      <c r="P37" s="22">
        <v>3331</v>
      </c>
      <c r="Q37" s="21">
        <f t="shared" si="14"/>
        <v>0</v>
      </c>
      <c r="R37" s="22">
        <v>3374</v>
      </c>
      <c r="S37" s="21">
        <f>R37-R36</f>
        <v>0</v>
      </c>
      <c r="T37" s="77">
        <v>2444</v>
      </c>
      <c r="U37" s="84">
        <v>0</v>
      </c>
      <c r="V37" s="108">
        <f t="shared" si="13"/>
        <v>2444</v>
      </c>
      <c r="W37" s="109">
        <v>0</v>
      </c>
      <c r="X37" s="77">
        <v>16405</v>
      </c>
      <c r="Y37" s="49">
        <f t="shared" si="1"/>
        <v>16405</v>
      </c>
      <c r="Z37" s="44">
        <v>5.1400000000000432</v>
      </c>
      <c r="AA37" s="44">
        <v>0</v>
      </c>
      <c r="AB37" s="44"/>
      <c r="AC37" s="106">
        <v>14.870000000000118</v>
      </c>
      <c r="AD37" s="247">
        <v>154.97999999999999</v>
      </c>
      <c r="AE37" s="243">
        <f>AD37+AE36</f>
        <v>6858.3099999999995</v>
      </c>
      <c r="AF37" s="192">
        <v>15.13</v>
      </c>
      <c r="AG37" s="7">
        <v>155</v>
      </c>
      <c r="AH37" s="7">
        <f t="shared" si="12"/>
        <v>6839.5299999999988</v>
      </c>
      <c r="AI37" s="257">
        <v>155</v>
      </c>
      <c r="AJ37" s="257"/>
      <c r="AK37" s="257">
        <v>155</v>
      </c>
      <c r="AL37" s="218">
        <v>212748</v>
      </c>
      <c r="AM37" s="76">
        <v>2445</v>
      </c>
      <c r="AN37" s="202">
        <v>23147</v>
      </c>
      <c r="AO37" s="76">
        <f t="shared" si="8"/>
        <v>0</v>
      </c>
      <c r="AP37" s="90"/>
      <c r="AQ37" s="90"/>
      <c r="AR37" s="17">
        <v>1</v>
      </c>
    </row>
    <row r="38" spans="2:44" x14ac:dyDescent="0.25">
      <c r="B38" s="14" t="s">
        <v>48</v>
      </c>
      <c r="C38" s="14"/>
      <c r="D38" s="69">
        <f>AVERAGE(D7:D37)</f>
        <v>0.28677419354838718</v>
      </c>
      <c r="E38" s="69"/>
      <c r="F38" s="69">
        <f>AVERAGE(F7:F37)</f>
        <v>0.43362580645161286</v>
      </c>
      <c r="G38" s="65">
        <f>AVERAGE(G7:G37)</f>
        <v>9368.807741935485</v>
      </c>
      <c r="H38" s="69">
        <f>AVERAGE(H7:H37)</f>
        <v>0.56041935483870964</v>
      </c>
      <c r="I38" s="67"/>
      <c r="J38" s="65">
        <f>SUMIFS(J7:J37,J7:J37,"&gt;0")</f>
        <v>0</v>
      </c>
      <c r="K38" s="67"/>
      <c r="L38" s="137">
        <f>SUMIFS(L7:L37,L7:L37,"&gt;0")</f>
        <v>575665</v>
      </c>
      <c r="M38" s="67"/>
      <c r="N38" s="67"/>
      <c r="O38" s="65">
        <f>SUM(O7:O37)</f>
        <v>14509</v>
      </c>
      <c r="P38" s="67"/>
      <c r="Q38" s="65">
        <f>SUMIFS(Q7:Q37,Q7:Q37,"&gt;0")</f>
        <v>0</v>
      </c>
      <c r="R38" s="67"/>
      <c r="S38" s="65">
        <f>SUMIFS(S7:S37,S7:S37,"&gt;0")</f>
        <v>0</v>
      </c>
      <c r="T38" s="65">
        <f t="shared" ref="T38:AG38" si="15">SUM(T7:T37)</f>
        <v>191584</v>
      </c>
      <c r="U38" s="65">
        <f t="shared" si="15"/>
        <v>71839.23</v>
      </c>
      <c r="V38" s="65">
        <f t="shared" si="15"/>
        <v>263423.23</v>
      </c>
      <c r="W38" s="65"/>
      <c r="X38" s="65"/>
      <c r="Y38" s="137">
        <f>SUM(Y7:Y37)-733</f>
        <v>575665</v>
      </c>
      <c r="Z38" s="65">
        <f t="shared" si="15"/>
        <v>355.79</v>
      </c>
      <c r="AA38" s="65">
        <f t="shared" si="15"/>
        <v>124.14999999999998</v>
      </c>
      <c r="AB38" s="65">
        <f t="shared" si="15"/>
        <v>0</v>
      </c>
      <c r="AC38" s="65">
        <f t="shared" si="15"/>
        <v>598.59</v>
      </c>
      <c r="AD38" s="99">
        <f>SUM(AD7:AD37)</f>
        <v>6858.3099999999995</v>
      </c>
      <c r="AE38" s="11"/>
      <c r="AF38" s="258">
        <f>AVERAGE(AF7:AF37)</f>
        <v>14.89076923076923</v>
      </c>
      <c r="AG38" s="65">
        <f t="shared" si="15"/>
        <v>6839.5299999999988</v>
      </c>
      <c r="AH38" s="68"/>
      <c r="AI38" s="68">
        <v>6839.5299999999988</v>
      </c>
      <c r="AJ38" s="68">
        <v>70.49799999999999</v>
      </c>
      <c r="AK38" s="68">
        <v>6910.0280000000002</v>
      </c>
      <c r="AL38" s="66"/>
      <c r="AM38" s="65">
        <f>SUM(AM7:AM37)</f>
        <v>76816</v>
      </c>
      <c r="AN38" s="99"/>
      <c r="AO38" s="65">
        <f>SUM(AO7:AO37)</f>
        <v>8448</v>
      </c>
      <c r="AP38" s="65"/>
      <c r="AQ38" s="65"/>
      <c r="AR38" s="5"/>
    </row>
    <row r="39" spans="2:44" x14ac:dyDescent="0.25">
      <c r="J39" s="72"/>
      <c r="L39" s="72"/>
      <c r="Q39" s="63"/>
      <c r="S39" s="63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236"/>
      <c r="AE39" s="63"/>
      <c r="AG39" s="63"/>
      <c r="AH39" s="63"/>
      <c r="AI39" s="63"/>
      <c r="AJ39" s="63"/>
      <c r="AK39" s="63"/>
      <c r="AO39" s="63"/>
      <c r="AP39" s="63"/>
      <c r="AQ39" s="63"/>
    </row>
    <row r="40" spans="2:44" x14ac:dyDescent="0.25">
      <c r="G40" s="81"/>
      <c r="I40" s="88"/>
      <c r="J40" s="87"/>
      <c r="K40" s="88"/>
      <c r="L40" s="87"/>
      <c r="O40" s="89"/>
      <c r="Q40" s="91"/>
      <c r="S40" s="91"/>
      <c r="AD40" s="237"/>
      <c r="AF40" s="85"/>
      <c r="AG40" s="74"/>
      <c r="AL40" s="85"/>
      <c r="AM40" s="85"/>
      <c r="AN40" s="85"/>
      <c r="AO40" s="73"/>
      <c r="AP40" s="73"/>
      <c r="AQ40" s="73"/>
    </row>
    <row r="41" spans="2:44" x14ac:dyDescent="0.25">
      <c r="C41" s="16"/>
      <c r="J41" s="80"/>
      <c r="L41" s="80"/>
      <c r="P41" s="88"/>
      <c r="R41" s="88"/>
      <c r="W41" s="356"/>
      <c r="Y41" s="4" t="s">
        <v>61</v>
      </c>
      <c r="AF41" s="86"/>
      <c r="AL41" s="86"/>
      <c r="AM41" s="86"/>
      <c r="AN41" s="86"/>
      <c r="AO41" s="73"/>
      <c r="AP41" s="73"/>
      <c r="AQ41" s="73"/>
    </row>
    <row r="42" spans="2:44" x14ac:dyDescent="0.25">
      <c r="Y42" s="4" t="s">
        <v>62</v>
      </c>
      <c r="AO42" s="63"/>
      <c r="AP42" s="63"/>
      <c r="AQ42" s="63"/>
    </row>
  </sheetData>
  <mergeCells count="28">
    <mergeCell ref="AD5:AE5"/>
    <mergeCell ref="AG3:AH3"/>
    <mergeCell ref="AG4:AH4"/>
    <mergeCell ref="AD3:AF3"/>
    <mergeCell ref="AD4:AF4"/>
    <mergeCell ref="AL3:AQ4"/>
    <mergeCell ref="AR3:AR6"/>
    <mergeCell ref="AG5:AH5"/>
    <mergeCell ref="AL5:AM5"/>
    <mergeCell ref="AN5:AO5"/>
    <mergeCell ref="AP5:AQ5"/>
    <mergeCell ref="AI3:AK3"/>
    <mergeCell ref="AI4:AK4"/>
    <mergeCell ref="K5:L5"/>
    <mergeCell ref="M5:N5"/>
    <mergeCell ref="B3:AC3"/>
    <mergeCell ref="B4:B6"/>
    <mergeCell ref="C4:C6"/>
    <mergeCell ref="D4:G4"/>
    <mergeCell ref="I4:L4"/>
    <mergeCell ref="M4:O4"/>
    <mergeCell ref="T4:V4"/>
    <mergeCell ref="Z4:AA4"/>
    <mergeCell ref="AB4:AC4"/>
    <mergeCell ref="W4:Y4"/>
    <mergeCell ref="I5:J5"/>
    <mergeCell ref="P4:Q5"/>
    <mergeCell ref="R4:S5"/>
  </mergeCells>
  <pageMargins left="0" right="0" top="0.35433070866141736" bottom="0" header="0.31496062992125984" footer="0.31496062992125984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V42"/>
  <sheetViews>
    <sheetView showGridLines="0" zoomScale="55" zoomScaleNormal="55" workbookViewId="0">
      <pane xSplit="3" ySplit="6" topLeftCell="D7" activePane="bottomRight" state="frozen"/>
      <selection pane="topRight" activeCell="B41" sqref="B41:E42"/>
      <selection pane="bottomLeft" activeCell="B41" sqref="B41:E42"/>
      <selection pane="bottomRight" activeCell="B41" sqref="B41:E42"/>
    </sheetView>
  </sheetViews>
  <sheetFormatPr defaultColWidth="9.109375" defaultRowHeight="13.8" x14ac:dyDescent="0.25"/>
  <cols>
    <col min="1" max="1" width="4.5546875" style="1" customWidth="1"/>
    <col min="2" max="2" width="22.5546875" style="2" customWidth="1"/>
    <col min="3" max="3" width="10.44140625" style="2" bestFit="1" customWidth="1"/>
    <col min="4" max="5" width="10.44140625" style="2" customWidth="1"/>
    <col min="6" max="6" width="10" style="2" customWidth="1"/>
    <col min="7" max="7" width="11" style="168" customWidth="1"/>
    <col min="8" max="8" width="11.44140625" style="169" customWidth="1"/>
    <col min="9" max="9" width="11.5546875" style="2" customWidth="1"/>
    <col min="10" max="10" width="11.109375" style="2" customWidth="1"/>
    <col min="11" max="11" width="13.88671875" style="1" customWidth="1"/>
    <col min="12" max="12" width="13" style="1" customWidth="1"/>
    <col min="13" max="13" width="10.88671875" style="1" bestFit="1" customWidth="1"/>
    <col min="14" max="14" width="10.88671875" style="1" customWidth="1"/>
    <col min="15" max="15" width="11.44140625" style="1" customWidth="1"/>
    <col min="16" max="16" width="11.5546875" style="1" customWidth="1"/>
    <col min="17" max="17" width="11.88671875" style="1" customWidth="1"/>
    <col min="18" max="18" width="11.5546875" style="1" customWidth="1"/>
    <col min="19" max="19" width="11.88671875" style="1" customWidth="1"/>
    <col min="20" max="20" width="12.44140625" style="3" customWidth="1"/>
    <col min="21" max="21" width="11.109375" style="3" customWidth="1"/>
    <col min="22" max="22" width="12.44140625" style="3" bestFit="1" customWidth="1"/>
    <col min="23" max="25" width="12.44140625" style="3" customWidth="1"/>
    <col min="26" max="26" width="11.5546875" style="3" customWidth="1"/>
    <col min="27" max="27" width="11.109375" style="3" customWidth="1"/>
    <col min="28" max="28" width="11" style="3" customWidth="1"/>
    <col min="29" max="29" width="11.44140625" style="3" customWidth="1"/>
    <col min="30" max="30" width="12.44140625" style="234" customWidth="1"/>
    <col min="31" max="31" width="12.44140625" style="1" customWidth="1"/>
    <col min="32" max="32" width="11.5546875" style="2" customWidth="1"/>
    <col min="33" max="34" width="12.5546875" style="1" customWidth="1"/>
    <col min="35" max="37" width="13" style="1" customWidth="1"/>
    <col min="38" max="38" width="12.88671875" style="2" customWidth="1"/>
    <col min="39" max="39" width="13" style="2" customWidth="1"/>
    <col min="40" max="40" width="12.88671875" style="2" customWidth="1"/>
    <col min="41" max="43" width="12.88671875" style="1" customWidth="1"/>
    <col min="44" max="44" width="38" style="1" bestFit="1" customWidth="1"/>
    <col min="45" max="45" width="9.109375" style="1"/>
    <col min="46" max="46" width="10.88671875" style="1" bestFit="1" customWidth="1"/>
    <col min="47" max="47" width="12.88671875" style="1" bestFit="1" customWidth="1"/>
    <col min="48" max="16384" width="9.109375" style="1"/>
  </cols>
  <sheetData>
    <row r="2" spans="2:48" x14ac:dyDescent="0.25">
      <c r="B2" s="4" t="s">
        <v>0</v>
      </c>
    </row>
    <row r="3" spans="2:48" ht="26.25" customHeight="1" x14ac:dyDescent="0.25">
      <c r="B3" s="479" t="s">
        <v>1</v>
      </c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  <c r="AA3" s="480"/>
      <c r="AB3" s="480"/>
      <c r="AC3" s="481"/>
      <c r="AD3" s="490" t="s">
        <v>2</v>
      </c>
      <c r="AE3" s="491"/>
      <c r="AF3" s="492"/>
      <c r="AG3" s="485" t="s">
        <v>3</v>
      </c>
      <c r="AH3" s="486"/>
      <c r="AI3" s="494" t="s">
        <v>55</v>
      </c>
      <c r="AJ3" s="495"/>
      <c r="AK3" s="496"/>
      <c r="AL3" s="465" t="s">
        <v>4</v>
      </c>
      <c r="AM3" s="473"/>
      <c r="AN3" s="473"/>
      <c r="AO3" s="473"/>
      <c r="AP3" s="473"/>
      <c r="AQ3" s="473"/>
      <c r="AR3" s="457" t="s">
        <v>5</v>
      </c>
    </row>
    <row r="4" spans="2:48" ht="16.5" customHeight="1" x14ac:dyDescent="0.25">
      <c r="B4" s="460" t="s">
        <v>6</v>
      </c>
      <c r="C4" s="460" t="s">
        <v>7</v>
      </c>
      <c r="D4" s="461" t="s">
        <v>8</v>
      </c>
      <c r="E4" s="462"/>
      <c r="F4" s="462"/>
      <c r="G4" s="463"/>
      <c r="H4" s="170" t="s">
        <v>9</v>
      </c>
      <c r="I4" s="464" t="s">
        <v>10</v>
      </c>
      <c r="J4" s="464"/>
      <c r="K4" s="464"/>
      <c r="L4" s="464"/>
      <c r="M4" s="464" t="s">
        <v>11</v>
      </c>
      <c r="N4" s="464"/>
      <c r="O4" s="464"/>
      <c r="P4" s="465" t="s">
        <v>56</v>
      </c>
      <c r="Q4" s="466"/>
      <c r="R4" s="465" t="s">
        <v>57</v>
      </c>
      <c r="S4" s="466"/>
      <c r="T4" s="469" t="s">
        <v>13</v>
      </c>
      <c r="U4" s="470"/>
      <c r="V4" s="471"/>
      <c r="W4" s="482" t="s">
        <v>14</v>
      </c>
      <c r="X4" s="483"/>
      <c r="Y4" s="484"/>
      <c r="Z4" s="461" t="s">
        <v>15</v>
      </c>
      <c r="AA4" s="463"/>
      <c r="AB4" s="461" t="s">
        <v>16</v>
      </c>
      <c r="AC4" s="463"/>
      <c r="AD4" s="487" t="s">
        <v>17</v>
      </c>
      <c r="AE4" s="488"/>
      <c r="AF4" s="489"/>
      <c r="AG4" s="477" t="s">
        <v>17</v>
      </c>
      <c r="AH4" s="478"/>
      <c r="AI4" s="487" t="s">
        <v>17</v>
      </c>
      <c r="AJ4" s="488"/>
      <c r="AK4" s="489"/>
      <c r="AL4" s="467"/>
      <c r="AM4" s="474"/>
      <c r="AN4" s="474"/>
      <c r="AO4" s="474"/>
      <c r="AP4" s="474"/>
      <c r="AQ4" s="474"/>
      <c r="AR4" s="458"/>
    </row>
    <row r="5" spans="2:48" ht="52.5" customHeight="1" x14ac:dyDescent="0.25">
      <c r="B5" s="460"/>
      <c r="C5" s="460"/>
      <c r="D5" s="41" t="s">
        <v>18</v>
      </c>
      <c r="E5" s="41" t="s">
        <v>19</v>
      </c>
      <c r="F5" s="41" t="s">
        <v>20</v>
      </c>
      <c r="G5" s="171" t="s">
        <v>21</v>
      </c>
      <c r="H5" s="56" t="s">
        <v>22</v>
      </c>
      <c r="I5" s="472" t="s">
        <v>63</v>
      </c>
      <c r="J5" s="472"/>
      <c r="K5" s="472" t="s">
        <v>64</v>
      </c>
      <c r="L5" s="472"/>
      <c r="M5" s="460" t="s">
        <v>25</v>
      </c>
      <c r="N5" s="460"/>
      <c r="O5" s="43" t="s">
        <v>26</v>
      </c>
      <c r="P5" s="467"/>
      <c r="Q5" s="468"/>
      <c r="R5" s="467"/>
      <c r="S5" s="468"/>
      <c r="T5" s="82" t="s">
        <v>27</v>
      </c>
      <c r="U5" s="82" t="s">
        <v>24</v>
      </c>
      <c r="V5" s="82" t="s">
        <v>21</v>
      </c>
      <c r="W5" s="34" t="s">
        <v>27</v>
      </c>
      <c r="X5" s="34" t="s">
        <v>24</v>
      </c>
      <c r="Y5" s="36" t="s">
        <v>21</v>
      </c>
      <c r="Z5" s="82" t="s">
        <v>27</v>
      </c>
      <c r="AA5" s="82" t="s">
        <v>24</v>
      </c>
      <c r="AB5" s="82" t="s">
        <v>27</v>
      </c>
      <c r="AC5" s="82" t="s">
        <v>24</v>
      </c>
      <c r="AD5" s="472" t="s">
        <v>28</v>
      </c>
      <c r="AE5" s="472"/>
      <c r="AF5" s="45" t="s">
        <v>29</v>
      </c>
      <c r="AG5" s="477" t="s">
        <v>28</v>
      </c>
      <c r="AH5" s="493"/>
      <c r="AI5" s="253" t="s">
        <v>58</v>
      </c>
      <c r="AJ5" s="254" t="s">
        <v>59</v>
      </c>
      <c r="AK5" s="253" t="s">
        <v>60</v>
      </c>
      <c r="AL5" s="475" t="s">
        <v>30</v>
      </c>
      <c r="AM5" s="476"/>
      <c r="AN5" s="475" t="s">
        <v>31</v>
      </c>
      <c r="AO5" s="476"/>
      <c r="AP5" s="477" t="s">
        <v>32</v>
      </c>
      <c r="AQ5" s="478"/>
      <c r="AR5" s="458"/>
    </row>
    <row r="6" spans="2:48" ht="14.4" x14ac:dyDescent="0.3">
      <c r="B6" s="460"/>
      <c r="C6" s="460"/>
      <c r="D6" s="83">
        <v>8350</v>
      </c>
      <c r="E6" s="83">
        <v>8350</v>
      </c>
      <c r="F6" s="83">
        <v>8350</v>
      </c>
      <c r="G6" s="172">
        <f>D6+E6+F6</f>
        <v>25050</v>
      </c>
      <c r="H6" s="56" t="s">
        <v>33</v>
      </c>
      <c r="I6" s="17" t="s">
        <v>34</v>
      </c>
      <c r="J6" s="17" t="s">
        <v>35</v>
      </c>
      <c r="K6" s="17" t="s">
        <v>34</v>
      </c>
      <c r="L6" s="17" t="s">
        <v>35</v>
      </c>
      <c r="M6" s="40" t="s">
        <v>36</v>
      </c>
      <c r="N6" s="40" t="s">
        <v>37</v>
      </c>
      <c r="O6" s="41" t="s">
        <v>38</v>
      </c>
      <c r="P6" s="17" t="s">
        <v>34</v>
      </c>
      <c r="Q6" s="17" t="s">
        <v>35</v>
      </c>
      <c r="R6" s="17" t="s">
        <v>34</v>
      </c>
      <c r="S6" s="17" t="s">
        <v>35</v>
      </c>
      <c r="T6" s="82" t="s">
        <v>39</v>
      </c>
      <c r="U6" s="82" t="s">
        <v>39</v>
      </c>
      <c r="V6" s="82" t="s">
        <v>39</v>
      </c>
      <c r="W6" s="82"/>
      <c r="X6" s="82"/>
      <c r="Y6" s="82"/>
      <c r="Z6" s="41" t="s">
        <v>40</v>
      </c>
      <c r="AA6" s="41" t="s">
        <v>40</v>
      </c>
      <c r="AB6" s="41" t="s">
        <v>40</v>
      </c>
      <c r="AC6" s="41" t="s">
        <v>40</v>
      </c>
      <c r="AD6" s="235" t="s">
        <v>41</v>
      </c>
      <c r="AE6" s="78" t="s">
        <v>42</v>
      </c>
      <c r="AF6" s="9" t="s">
        <v>43</v>
      </c>
      <c r="AG6" s="17" t="s">
        <v>41</v>
      </c>
      <c r="AH6" s="78" t="s">
        <v>42</v>
      </c>
      <c r="AI6" s="78"/>
      <c r="AJ6" s="78"/>
      <c r="AK6" s="78"/>
      <c r="AL6" s="9" t="s">
        <v>34</v>
      </c>
      <c r="AM6" s="9" t="s">
        <v>44</v>
      </c>
      <c r="AN6" s="9" t="s">
        <v>34</v>
      </c>
      <c r="AO6" s="9" t="s">
        <v>44</v>
      </c>
      <c r="AP6" s="9" t="s">
        <v>34</v>
      </c>
      <c r="AQ6" s="9" t="s">
        <v>44</v>
      </c>
      <c r="AR6" s="459"/>
    </row>
    <row r="7" spans="2:48" x14ac:dyDescent="0.25">
      <c r="B7" s="8">
        <v>44774</v>
      </c>
      <c r="C7" s="42" t="str">
        <f>TEXT(B7,"ddd")</f>
        <v>Mon</v>
      </c>
      <c r="D7" s="176">
        <v>0.45</v>
      </c>
      <c r="E7" s="176">
        <v>0.18</v>
      </c>
      <c r="F7" s="176">
        <v>0.3</v>
      </c>
      <c r="G7" s="143">
        <v>7765.5</v>
      </c>
      <c r="H7" s="163">
        <v>0.56399999999999995</v>
      </c>
      <c r="I7" s="95"/>
      <c r="J7" s="22">
        <v>0</v>
      </c>
      <c r="K7" s="181">
        <v>1386087</v>
      </c>
      <c r="L7" s="127">
        <v>18842</v>
      </c>
      <c r="M7" s="23"/>
      <c r="N7" s="23"/>
      <c r="O7" s="22"/>
      <c r="P7" s="22">
        <v>3331</v>
      </c>
      <c r="Q7" s="21">
        <v>0</v>
      </c>
      <c r="R7" s="22">
        <v>3374</v>
      </c>
      <c r="S7" s="21">
        <v>0</v>
      </c>
      <c r="T7" s="50">
        <v>9383</v>
      </c>
      <c r="U7" s="138">
        <v>7184</v>
      </c>
      <c r="V7" s="49">
        <f t="shared" ref="V7:V19" si="0">SUM(T7:U7)</f>
        <v>16567</v>
      </c>
      <c r="W7" s="50">
        <v>0</v>
      </c>
      <c r="X7" s="139">
        <v>18842</v>
      </c>
      <c r="Y7" s="49">
        <f t="shared" ref="Y7:Y19" si="1">SUM(W7:X7)</f>
        <v>18842</v>
      </c>
      <c r="Z7" s="140">
        <v>15.409999999999968</v>
      </c>
      <c r="AA7" s="140">
        <v>12.879999999999995</v>
      </c>
      <c r="AB7" s="50">
        <v>0</v>
      </c>
      <c r="AC7" s="140">
        <v>22.839999999999918</v>
      </c>
      <c r="AD7" s="242">
        <v>279.14999999999998</v>
      </c>
      <c r="AE7" s="243">
        <f>AD7</f>
        <v>279.14999999999998</v>
      </c>
      <c r="AF7" s="186">
        <v>14.36</v>
      </c>
      <c r="AG7" s="7">
        <v>279.14999999999998</v>
      </c>
      <c r="AH7" s="7">
        <f>AG7</f>
        <v>279.14999999999998</v>
      </c>
      <c r="AI7" s="255">
        <v>279.14999999999998</v>
      </c>
      <c r="AJ7" s="255"/>
      <c r="AK7" s="255">
        <v>279.14999999999998</v>
      </c>
      <c r="AL7" s="203">
        <v>215217</v>
      </c>
      <c r="AM7" s="90">
        <f>AL7-'Jul2022'!AL37</f>
        <v>2469</v>
      </c>
      <c r="AN7" s="209">
        <v>23467</v>
      </c>
      <c r="AO7" s="90">
        <v>320</v>
      </c>
      <c r="AP7" s="90"/>
      <c r="AQ7" s="90"/>
      <c r="AR7" s="17">
        <v>2</v>
      </c>
      <c r="AT7" s="79"/>
      <c r="AU7" s="74"/>
      <c r="AV7" s="74"/>
    </row>
    <row r="8" spans="2:48" x14ac:dyDescent="0.25">
      <c r="B8" s="8">
        <f>B7+1</f>
        <v>44775</v>
      </c>
      <c r="C8" s="42" t="str">
        <f t="shared" ref="C8:C37" si="2">TEXT(B8,"ddd")</f>
        <v>Tue</v>
      </c>
      <c r="D8" s="176">
        <v>0.32</v>
      </c>
      <c r="E8" s="176">
        <v>0.3</v>
      </c>
      <c r="F8" s="176">
        <v>0.13</v>
      </c>
      <c r="G8" s="143">
        <v>6262.5</v>
      </c>
      <c r="H8" s="163">
        <v>0.56399999999999995</v>
      </c>
      <c r="I8" s="95"/>
      <c r="J8" s="22">
        <v>0</v>
      </c>
      <c r="K8" s="182">
        <v>1405316</v>
      </c>
      <c r="L8" s="127">
        <v>19229</v>
      </c>
      <c r="M8" s="26"/>
      <c r="N8" s="26"/>
      <c r="O8" s="22"/>
      <c r="P8" s="22">
        <v>3331</v>
      </c>
      <c r="Q8" s="21">
        <v>0</v>
      </c>
      <c r="R8" s="22">
        <v>3374</v>
      </c>
      <c r="S8" s="21">
        <v>0</v>
      </c>
      <c r="T8" s="50">
        <v>12400</v>
      </c>
      <c r="U8" s="138">
        <v>1770</v>
      </c>
      <c r="V8" s="49">
        <f t="shared" si="0"/>
        <v>14170</v>
      </c>
      <c r="W8" s="50">
        <v>0</v>
      </c>
      <c r="X8" s="139">
        <v>19188</v>
      </c>
      <c r="Y8" s="49">
        <f t="shared" si="1"/>
        <v>19188</v>
      </c>
      <c r="Z8" s="140">
        <v>23.78000000000003</v>
      </c>
      <c r="AA8" s="140">
        <v>0</v>
      </c>
      <c r="AB8" s="50">
        <v>0</v>
      </c>
      <c r="AC8" s="140">
        <v>23.759999999999991</v>
      </c>
      <c r="AD8" s="244">
        <v>346.48</v>
      </c>
      <c r="AE8" s="243">
        <f>AD8+AE7</f>
        <v>625.63</v>
      </c>
      <c r="AF8" s="187">
        <v>15.12</v>
      </c>
      <c r="AG8" s="7">
        <v>346.48</v>
      </c>
      <c r="AH8" s="7">
        <f>AG8+AH7</f>
        <v>625.63</v>
      </c>
      <c r="AI8" s="255">
        <v>346.48</v>
      </c>
      <c r="AJ8" s="255"/>
      <c r="AK8" s="255">
        <v>346.48</v>
      </c>
      <c r="AL8" s="203">
        <v>217936</v>
      </c>
      <c r="AM8" s="90">
        <f>AL8-AL7</f>
        <v>2719</v>
      </c>
      <c r="AN8" s="210">
        <v>23776</v>
      </c>
      <c r="AO8" s="76">
        <f t="shared" ref="AO8:AO37" si="3">AN8-AN7</f>
        <v>309</v>
      </c>
      <c r="AP8" s="90"/>
      <c r="AQ8" s="90"/>
      <c r="AR8" s="17">
        <v>2</v>
      </c>
      <c r="AT8" s="79"/>
      <c r="AU8" s="74"/>
      <c r="AV8" s="74"/>
    </row>
    <row r="9" spans="2:48" x14ac:dyDescent="0.25">
      <c r="B9" s="8">
        <f>B8+1</f>
        <v>44776</v>
      </c>
      <c r="C9" s="42" t="str">
        <f t="shared" si="2"/>
        <v>Wed</v>
      </c>
      <c r="D9" s="176">
        <v>0.42</v>
      </c>
      <c r="E9" s="176">
        <v>0.45</v>
      </c>
      <c r="F9" s="176">
        <v>0.21</v>
      </c>
      <c r="G9" s="143">
        <v>9018</v>
      </c>
      <c r="H9" s="151">
        <v>0.57199999999999995</v>
      </c>
      <c r="I9" s="95"/>
      <c r="J9" s="22">
        <v>0</v>
      </c>
      <c r="K9" s="182">
        <v>1429700</v>
      </c>
      <c r="L9" s="127">
        <v>24384</v>
      </c>
      <c r="M9" s="26"/>
      <c r="N9" s="26"/>
      <c r="O9" s="22"/>
      <c r="P9" s="22">
        <v>3331</v>
      </c>
      <c r="Q9" s="21">
        <v>0</v>
      </c>
      <c r="R9" s="22">
        <v>3374</v>
      </c>
      <c r="S9" s="21">
        <v>0</v>
      </c>
      <c r="T9" s="50">
        <v>13967</v>
      </c>
      <c r="U9" s="138">
        <v>0</v>
      </c>
      <c r="V9" s="49">
        <f t="shared" si="0"/>
        <v>13967</v>
      </c>
      <c r="W9" s="50">
        <v>0</v>
      </c>
      <c r="X9" s="139">
        <v>24425</v>
      </c>
      <c r="Y9" s="49">
        <f t="shared" si="1"/>
        <v>24425</v>
      </c>
      <c r="Z9" s="140">
        <v>20.089999999999975</v>
      </c>
      <c r="AA9" s="140">
        <v>0</v>
      </c>
      <c r="AB9" s="50">
        <v>0</v>
      </c>
      <c r="AC9" s="140">
        <v>23.970000000000027</v>
      </c>
      <c r="AD9" s="244">
        <v>279.49</v>
      </c>
      <c r="AE9" s="243">
        <f t="shared" ref="AE9:AE37" si="4">AD9+AE8</f>
        <v>905.12</v>
      </c>
      <c r="AF9" s="187">
        <v>14.94</v>
      </c>
      <c r="AG9" s="7">
        <v>278.49</v>
      </c>
      <c r="AH9" s="7">
        <f>AG9+AH8</f>
        <v>904.12</v>
      </c>
      <c r="AI9" s="255">
        <v>278.49</v>
      </c>
      <c r="AJ9" s="255"/>
      <c r="AK9" s="255">
        <v>278.49</v>
      </c>
      <c r="AL9" s="203">
        <v>220699</v>
      </c>
      <c r="AM9" s="90">
        <f t="shared" ref="AM9:AM37" si="5">AL9-AL8</f>
        <v>2763</v>
      </c>
      <c r="AN9" s="210">
        <v>24113</v>
      </c>
      <c r="AO9" s="76">
        <f t="shared" si="3"/>
        <v>337</v>
      </c>
      <c r="AP9" s="90"/>
      <c r="AQ9" s="90"/>
      <c r="AR9" s="17">
        <v>2</v>
      </c>
      <c r="AT9" s="79"/>
      <c r="AU9" s="74"/>
      <c r="AV9" s="74"/>
    </row>
    <row r="10" spans="2:48" x14ac:dyDescent="0.25">
      <c r="B10" s="8">
        <f t="shared" ref="B10:B37" si="6">B9+1</f>
        <v>44777</v>
      </c>
      <c r="C10" s="42" t="str">
        <f t="shared" si="2"/>
        <v>Thu</v>
      </c>
      <c r="D10" s="177">
        <v>0.15</v>
      </c>
      <c r="E10" s="177">
        <v>0.14000000000000001</v>
      </c>
      <c r="F10" s="177">
        <v>0.16</v>
      </c>
      <c r="G10" s="143">
        <v>3757.5</v>
      </c>
      <c r="H10" s="151">
        <v>0.56299999999999994</v>
      </c>
      <c r="I10" s="95"/>
      <c r="J10" s="22">
        <v>0</v>
      </c>
      <c r="K10" s="182">
        <v>1461575</v>
      </c>
      <c r="L10" s="127">
        <v>31875</v>
      </c>
      <c r="M10" s="26"/>
      <c r="N10" s="26"/>
      <c r="O10" s="22"/>
      <c r="P10" s="22">
        <v>3331</v>
      </c>
      <c r="Q10" s="21">
        <v>0</v>
      </c>
      <c r="R10" s="22">
        <v>3374</v>
      </c>
      <c r="S10" s="21">
        <v>0</v>
      </c>
      <c r="T10" s="50">
        <v>8543</v>
      </c>
      <c r="U10" s="138">
        <v>0</v>
      </c>
      <c r="V10" s="49">
        <f t="shared" si="0"/>
        <v>8543</v>
      </c>
      <c r="W10" s="50">
        <v>0</v>
      </c>
      <c r="X10" s="139">
        <v>29373</v>
      </c>
      <c r="Y10" s="49">
        <f t="shared" si="1"/>
        <v>29373</v>
      </c>
      <c r="Z10" s="140">
        <v>15.680000000000007</v>
      </c>
      <c r="AA10" s="140">
        <v>0</v>
      </c>
      <c r="AB10" s="50">
        <v>0</v>
      </c>
      <c r="AC10" s="140">
        <v>24</v>
      </c>
      <c r="AD10" s="244">
        <v>263.2</v>
      </c>
      <c r="AE10" s="243">
        <f t="shared" si="4"/>
        <v>1168.32</v>
      </c>
      <c r="AF10" s="187">
        <v>14.27</v>
      </c>
      <c r="AG10" s="7">
        <v>263.23</v>
      </c>
      <c r="AH10" s="7">
        <f>AG10+AH9</f>
        <v>1167.3499999999999</v>
      </c>
      <c r="AI10" s="255">
        <v>263.23</v>
      </c>
      <c r="AJ10" s="255"/>
      <c r="AK10" s="255">
        <v>263.23</v>
      </c>
      <c r="AL10" s="203">
        <v>223518</v>
      </c>
      <c r="AM10" s="90">
        <f t="shared" si="5"/>
        <v>2819</v>
      </c>
      <c r="AN10" s="210">
        <v>24479</v>
      </c>
      <c r="AO10" s="76">
        <f t="shared" si="3"/>
        <v>366</v>
      </c>
      <c r="AP10" s="90"/>
      <c r="AQ10" s="90"/>
      <c r="AR10" s="17">
        <v>2</v>
      </c>
      <c r="AT10" s="79"/>
      <c r="AU10" s="74"/>
      <c r="AV10" s="74"/>
    </row>
    <row r="11" spans="2:48" x14ac:dyDescent="0.25">
      <c r="B11" s="8">
        <f t="shared" si="6"/>
        <v>44778</v>
      </c>
      <c r="C11" s="42" t="str">
        <f t="shared" si="2"/>
        <v>Fri</v>
      </c>
      <c r="D11" s="178">
        <v>0.98</v>
      </c>
      <c r="E11" s="178">
        <v>0.32</v>
      </c>
      <c r="F11" s="178">
        <v>0.1</v>
      </c>
      <c r="G11" s="143">
        <v>11690</v>
      </c>
      <c r="H11" s="167">
        <v>0.56999999999999995</v>
      </c>
      <c r="I11" s="95"/>
      <c r="J11" s="22">
        <v>0</v>
      </c>
      <c r="K11" s="182">
        <v>1465706</v>
      </c>
      <c r="L11" s="127">
        <v>4131</v>
      </c>
      <c r="M11" s="26"/>
      <c r="N11" s="26"/>
      <c r="O11" s="22"/>
      <c r="P11" s="22">
        <v>3331</v>
      </c>
      <c r="Q11" s="21">
        <v>0</v>
      </c>
      <c r="R11" s="22">
        <v>3374</v>
      </c>
      <c r="S11" s="21">
        <v>0</v>
      </c>
      <c r="T11" s="50">
        <v>0</v>
      </c>
      <c r="U11" s="138">
        <v>0</v>
      </c>
      <c r="V11" s="49">
        <f t="shared" si="0"/>
        <v>0</v>
      </c>
      <c r="W11" s="50">
        <v>0</v>
      </c>
      <c r="X11" s="139">
        <v>6633</v>
      </c>
      <c r="Y11" s="49">
        <f t="shared" si="1"/>
        <v>6633</v>
      </c>
      <c r="Z11" s="140">
        <v>0</v>
      </c>
      <c r="AA11" s="140">
        <v>0</v>
      </c>
      <c r="AB11" s="50">
        <v>0</v>
      </c>
      <c r="AC11" s="140">
        <v>7.0599999999999454</v>
      </c>
      <c r="AD11" s="245">
        <v>0</v>
      </c>
      <c r="AE11" s="243">
        <f t="shared" si="4"/>
        <v>1168.32</v>
      </c>
      <c r="AF11" s="187"/>
      <c r="AG11" s="7">
        <v>0</v>
      </c>
      <c r="AH11" s="7">
        <f t="shared" ref="AH11:AH36" si="7">AG11+AH10</f>
        <v>1167.3499999999999</v>
      </c>
      <c r="AI11" s="255" t="s">
        <v>65</v>
      </c>
      <c r="AJ11" s="255"/>
      <c r="AK11" s="255">
        <v>0</v>
      </c>
      <c r="AL11" s="203">
        <v>224151</v>
      </c>
      <c r="AM11" s="90">
        <f t="shared" si="5"/>
        <v>633</v>
      </c>
      <c r="AN11" s="210">
        <v>24585</v>
      </c>
      <c r="AO11" s="76">
        <f t="shared" si="3"/>
        <v>106</v>
      </c>
      <c r="AP11" s="90"/>
      <c r="AQ11" s="90"/>
      <c r="AR11" s="17" t="s">
        <v>66</v>
      </c>
      <c r="AT11" s="79"/>
      <c r="AU11" s="74"/>
      <c r="AV11" s="74"/>
    </row>
    <row r="12" spans="2:48" x14ac:dyDescent="0.25">
      <c r="B12" s="8">
        <f t="shared" si="6"/>
        <v>44779</v>
      </c>
      <c r="C12" s="42" t="str">
        <f t="shared" si="2"/>
        <v>Sat</v>
      </c>
      <c r="D12" s="141">
        <v>0.61</v>
      </c>
      <c r="E12" s="142">
        <v>0.15</v>
      </c>
      <c r="F12" s="142">
        <v>0.09</v>
      </c>
      <c r="G12" s="143">
        <v>7097.5</v>
      </c>
      <c r="H12" s="148">
        <v>0.56000000000000005</v>
      </c>
      <c r="I12" s="95"/>
      <c r="J12" s="22">
        <v>0</v>
      </c>
      <c r="K12" s="182">
        <v>1465706</v>
      </c>
      <c r="L12" s="127">
        <v>0</v>
      </c>
      <c r="M12" s="26"/>
      <c r="N12" s="26"/>
      <c r="O12" s="22"/>
      <c r="P12" s="22">
        <v>3331</v>
      </c>
      <c r="Q12" s="21">
        <v>0</v>
      </c>
      <c r="R12" s="22">
        <v>5878</v>
      </c>
      <c r="S12" s="21">
        <v>2504</v>
      </c>
      <c r="T12" s="50">
        <v>0</v>
      </c>
      <c r="U12" s="138">
        <v>0</v>
      </c>
      <c r="V12" s="49">
        <f t="shared" si="0"/>
        <v>0</v>
      </c>
      <c r="W12" s="50">
        <v>0</v>
      </c>
      <c r="X12" s="139">
        <v>0</v>
      </c>
      <c r="Y12" s="49">
        <f t="shared" si="1"/>
        <v>0</v>
      </c>
      <c r="Z12" s="140">
        <v>0</v>
      </c>
      <c r="AA12" s="140">
        <v>0</v>
      </c>
      <c r="AB12" s="50">
        <v>0</v>
      </c>
      <c r="AC12" s="140">
        <v>0</v>
      </c>
      <c r="AD12" s="245">
        <v>0</v>
      </c>
      <c r="AE12" s="243">
        <f t="shared" si="4"/>
        <v>1168.32</v>
      </c>
      <c r="AF12" s="186"/>
      <c r="AG12" s="7">
        <v>0</v>
      </c>
      <c r="AH12" s="7">
        <f t="shared" si="7"/>
        <v>1167.3499999999999</v>
      </c>
      <c r="AI12" s="255" t="s">
        <v>65</v>
      </c>
      <c r="AJ12" s="255"/>
      <c r="AK12" s="255">
        <v>0</v>
      </c>
      <c r="AL12" s="203">
        <v>225702</v>
      </c>
      <c r="AM12" s="90">
        <f t="shared" si="5"/>
        <v>1551</v>
      </c>
      <c r="AN12" s="210">
        <v>24705</v>
      </c>
      <c r="AO12" s="76">
        <f t="shared" si="3"/>
        <v>120</v>
      </c>
      <c r="AP12" s="90"/>
      <c r="AQ12" s="90"/>
      <c r="AR12" s="17" t="s">
        <v>66</v>
      </c>
      <c r="AT12" s="79"/>
      <c r="AU12" s="74"/>
      <c r="AV12" s="74"/>
    </row>
    <row r="13" spans="2:48" x14ac:dyDescent="0.25">
      <c r="B13" s="8">
        <f t="shared" si="6"/>
        <v>44780</v>
      </c>
      <c r="C13" s="42" t="str">
        <f t="shared" si="2"/>
        <v>Sun</v>
      </c>
      <c r="D13" s="141">
        <v>0.8</v>
      </c>
      <c r="E13" s="142">
        <v>0.67</v>
      </c>
      <c r="F13" s="142">
        <v>0.46</v>
      </c>
      <c r="G13" s="143">
        <v>16115.5</v>
      </c>
      <c r="H13" s="148">
        <v>0.56000000000000005</v>
      </c>
      <c r="I13" s="95"/>
      <c r="J13" s="22">
        <v>0</v>
      </c>
      <c r="K13" s="182">
        <v>1465706</v>
      </c>
      <c r="L13" s="127">
        <v>0</v>
      </c>
      <c r="M13" s="26"/>
      <c r="N13" s="26"/>
      <c r="O13" s="22"/>
      <c r="P13" s="22">
        <v>3331</v>
      </c>
      <c r="Q13" s="21">
        <v>0</v>
      </c>
      <c r="R13" s="22">
        <v>16077</v>
      </c>
      <c r="S13" s="21">
        <v>10199</v>
      </c>
      <c r="T13" s="50">
        <v>0</v>
      </c>
      <c r="U13" s="138">
        <v>0</v>
      </c>
      <c r="V13" s="49">
        <f t="shared" si="0"/>
        <v>0</v>
      </c>
      <c r="W13" s="50">
        <v>0</v>
      </c>
      <c r="X13" s="139">
        <v>0</v>
      </c>
      <c r="Y13" s="49">
        <f t="shared" si="1"/>
        <v>0</v>
      </c>
      <c r="Z13" s="140">
        <v>0</v>
      </c>
      <c r="AA13" s="140">
        <v>0</v>
      </c>
      <c r="AB13" s="50">
        <v>0</v>
      </c>
      <c r="AC13" s="140">
        <v>0</v>
      </c>
      <c r="AD13" s="245">
        <v>0</v>
      </c>
      <c r="AE13" s="243">
        <f t="shared" si="4"/>
        <v>1168.32</v>
      </c>
      <c r="AF13" s="193"/>
      <c r="AG13" s="7">
        <v>0</v>
      </c>
      <c r="AH13" s="7">
        <f t="shared" si="7"/>
        <v>1167.3499999999999</v>
      </c>
      <c r="AI13" s="255" t="s">
        <v>65</v>
      </c>
      <c r="AJ13" s="255"/>
      <c r="AK13" s="255">
        <v>0</v>
      </c>
      <c r="AL13" s="203">
        <v>226098</v>
      </c>
      <c r="AM13" s="90">
        <f t="shared" si="5"/>
        <v>396</v>
      </c>
      <c r="AN13" s="210">
        <v>25049</v>
      </c>
      <c r="AO13" s="76">
        <f t="shared" si="3"/>
        <v>344</v>
      </c>
      <c r="AP13" s="90"/>
      <c r="AQ13" s="90"/>
      <c r="AR13" s="17" t="s">
        <v>66</v>
      </c>
      <c r="AT13" s="79"/>
      <c r="AU13" s="74"/>
      <c r="AV13" s="74"/>
    </row>
    <row r="14" spans="2:48" x14ac:dyDescent="0.25">
      <c r="B14" s="8">
        <f t="shared" si="6"/>
        <v>44781</v>
      </c>
      <c r="C14" s="42" t="str">
        <f t="shared" si="2"/>
        <v>Mon</v>
      </c>
      <c r="D14" s="141">
        <v>0.64</v>
      </c>
      <c r="E14" s="142">
        <v>0.67</v>
      </c>
      <c r="F14" s="142">
        <v>0.35</v>
      </c>
      <c r="G14" s="143">
        <v>13861</v>
      </c>
      <c r="H14" s="144">
        <v>0.55600000000000005</v>
      </c>
      <c r="I14" s="95"/>
      <c r="J14" s="22">
        <v>0</v>
      </c>
      <c r="K14" s="182">
        <v>1465706</v>
      </c>
      <c r="L14" s="127">
        <v>0</v>
      </c>
      <c r="M14" s="26"/>
      <c r="N14" s="26"/>
      <c r="O14" s="22"/>
      <c r="P14" s="22">
        <v>3331</v>
      </c>
      <c r="Q14" s="21">
        <v>0</v>
      </c>
      <c r="R14" s="22">
        <v>32113</v>
      </c>
      <c r="S14" s="21">
        <v>16036</v>
      </c>
      <c r="T14" s="50">
        <v>0</v>
      </c>
      <c r="U14" s="138">
        <v>0</v>
      </c>
      <c r="V14" s="49">
        <f t="shared" si="0"/>
        <v>0</v>
      </c>
      <c r="W14" s="50">
        <v>0</v>
      </c>
      <c r="X14" s="139">
        <v>0</v>
      </c>
      <c r="Y14" s="49">
        <f t="shared" si="1"/>
        <v>0</v>
      </c>
      <c r="Z14" s="140">
        <v>0</v>
      </c>
      <c r="AA14" s="140">
        <v>0</v>
      </c>
      <c r="AB14" s="140">
        <v>0</v>
      </c>
      <c r="AC14" s="140">
        <v>0</v>
      </c>
      <c r="AD14" s="245">
        <v>0</v>
      </c>
      <c r="AE14" s="243">
        <f t="shared" si="4"/>
        <v>1168.32</v>
      </c>
      <c r="AF14" s="190"/>
      <c r="AG14" s="7">
        <v>0</v>
      </c>
      <c r="AH14" s="7">
        <f t="shared" si="7"/>
        <v>1167.3499999999999</v>
      </c>
      <c r="AI14" s="255" t="s">
        <v>65</v>
      </c>
      <c r="AJ14" s="255"/>
      <c r="AK14" s="255">
        <v>0</v>
      </c>
      <c r="AL14" s="203">
        <v>227685</v>
      </c>
      <c r="AM14" s="90">
        <f t="shared" si="5"/>
        <v>1587</v>
      </c>
      <c r="AN14" s="210">
        <v>25652</v>
      </c>
      <c r="AO14" s="76">
        <f t="shared" si="3"/>
        <v>603</v>
      </c>
      <c r="AP14" s="90"/>
      <c r="AQ14" s="90"/>
      <c r="AR14" s="17" t="s">
        <v>66</v>
      </c>
      <c r="AT14" s="79"/>
      <c r="AU14" s="74"/>
      <c r="AV14" s="74"/>
    </row>
    <row r="15" spans="2:48" x14ac:dyDescent="0.25">
      <c r="B15" s="8">
        <f t="shared" si="6"/>
        <v>44782</v>
      </c>
      <c r="C15" s="42" t="str">
        <f t="shared" si="2"/>
        <v>Tue</v>
      </c>
      <c r="D15" s="141">
        <v>0.89</v>
      </c>
      <c r="E15" s="142">
        <v>0.71</v>
      </c>
      <c r="F15" s="142">
        <v>0.79</v>
      </c>
      <c r="G15" s="143">
        <v>19956.5</v>
      </c>
      <c r="H15" s="144">
        <v>0.55600000000000005</v>
      </c>
      <c r="I15" s="95"/>
      <c r="J15" s="22">
        <v>0</v>
      </c>
      <c r="K15" s="183">
        <v>1474752</v>
      </c>
      <c r="L15" s="127">
        <v>9046</v>
      </c>
      <c r="M15" s="25"/>
      <c r="N15" s="25"/>
      <c r="O15" s="22"/>
      <c r="P15" s="22">
        <v>3331</v>
      </c>
      <c r="Q15" s="21">
        <v>0</v>
      </c>
      <c r="R15" s="22">
        <v>44134</v>
      </c>
      <c r="S15" s="21">
        <v>12021</v>
      </c>
      <c r="T15" s="50">
        <v>0</v>
      </c>
      <c r="U15" s="138">
        <v>0</v>
      </c>
      <c r="V15" s="49">
        <f t="shared" si="0"/>
        <v>0</v>
      </c>
      <c r="W15" s="50">
        <v>0</v>
      </c>
      <c r="X15" s="139">
        <v>9056</v>
      </c>
      <c r="Y15" s="49">
        <f t="shared" si="1"/>
        <v>9056</v>
      </c>
      <c r="Z15" s="140">
        <v>0</v>
      </c>
      <c r="AA15" s="140">
        <v>0</v>
      </c>
      <c r="AB15" s="140">
        <v>0</v>
      </c>
      <c r="AC15" s="140">
        <v>14.980000000000018</v>
      </c>
      <c r="AD15" s="245">
        <v>0</v>
      </c>
      <c r="AE15" s="243">
        <f t="shared" si="4"/>
        <v>1168.32</v>
      </c>
      <c r="AF15" s="190"/>
      <c r="AG15" s="7">
        <v>0</v>
      </c>
      <c r="AH15" s="7">
        <f t="shared" si="7"/>
        <v>1167.3499999999999</v>
      </c>
      <c r="AI15" s="255" t="s">
        <v>65</v>
      </c>
      <c r="AJ15" s="255"/>
      <c r="AK15" s="255">
        <v>0</v>
      </c>
      <c r="AL15" s="203">
        <v>229615</v>
      </c>
      <c r="AM15" s="90">
        <f t="shared" si="5"/>
        <v>1930</v>
      </c>
      <c r="AN15" s="210">
        <v>26004</v>
      </c>
      <c r="AO15" s="76">
        <f t="shared" si="3"/>
        <v>352</v>
      </c>
      <c r="AP15" s="90"/>
      <c r="AQ15" s="90"/>
      <c r="AR15" s="17" t="s">
        <v>66</v>
      </c>
      <c r="AT15" s="79"/>
      <c r="AU15" s="74"/>
      <c r="AV15" s="74"/>
    </row>
    <row r="16" spans="2:48" x14ac:dyDescent="0.25">
      <c r="B16" s="8">
        <f t="shared" si="6"/>
        <v>44783</v>
      </c>
      <c r="C16" s="42" t="str">
        <f t="shared" si="2"/>
        <v>Wed</v>
      </c>
      <c r="D16" s="141">
        <v>0.62</v>
      </c>
      <c r="E16" s="142">
        <v>0.77</v>
      </c>
      <c r="F16" s="142">
        <v>0.62</v>
      </c>
      <c r="G16" s="143">
        <v>16783.5</v>
      </c>
      <c r="H16" s="144">
        <v>0.55400000000000005</v>
      </c>
      <c r="I16" s="95"/>
      <c r="J16" s="22">
        <v>0</v>
      </c>
      <c r="K16" s="183">
        <v>1494169</v>
      </c>
      <c r="L16" s="127">
        <v>19417</v>
      </c>
      <c r="M16" s="23"/>
      <c r="N16" s="23"/>
      <c r="O16" s="22"/>
      <c r="P16" s="22">
        <v>3331</v>
      </c>
      <c r="Q16" s="21">
        <v>0</v>
      </c>
      <c r="R16" s="22">
        <v>44134</v>
      </c>
      <c r="S16" s="21">
        <v>0</v>
      </c>
      <c r="T16" s="50">
        <v>180</v>
      </c>
      <c r="U16" s="138">
        <v>0</v>
      </c>
      <c r="V16" s="49">
        <f t="shared" si="0"/>
        <v>180</v>
      </c>
      <c r="W16" s="50">
        <v>0</v>
      </c>
      <c r="X16" s="139">
        <v>19407</v>
      </c>
      <c r="Y16" s="49">
        <f t="shared" si="1"/>
        <v>19407</v>
      </c>
      <c r="Z16" s="140">
        <v>0.62999999999999545</v>
      </c>
      <c r="AA16" s="140">
        <v>0</v>
      </c>
      <c r="AB16" s="140">
        <v>0</v>
      </c>
      <c r="AC16" s="140">
        <v>23.789999999999964</v>
      </c>
      <c r="AD16" s="244">
        <v>0</v>
      </c>
      <c r="AE16" s="243">
        <f t="shared" si="4"/>
        <v>1168.32</v>
      </c>
      <c r="AF16" s="190"/>
      <c r="AG16" s="7">
        <v>0</v>
      </c>
      <c r="AH16" s="7">
        <f t="shared" si="7"/>
        <v>1167.3499999999999</v>
      </c>
      <c r="AI16" s="255" t="s">
        <v>65</v>
      </c>
      <c r="AJ16" s="255"/>
      <c r="AK16" s="255">
        <v>0</v>
      </c>
      <c r="AL16" s="203">
        <v>232238</v>
      </c>
      <c r="AM16" s="90">
        <f t="shared" si="5"/>
        <v>2623</v>
      </c>
      <c r="AN16" s="210">
        <v>26515</v>
      </c>
      <c r="AO16" s="76">
        <f t="shared" si="3"/>
        <v>511</v>
      </c>
      <c r="AP16" s="90"/>
      <c r="AQ16" s="90"/>
      <c r="AR16" s="17">
        <v>2</v>
      </c>
      <c r="AT16" s="79"/>
      <c r="AU16" s="74"/>
      <c r="AV16" s="74"/>
    </row>
    <row r="17" spans="2:48" x14ac:dyDescent="0.25">
      <c r="B17" s="8">
        <f t="shared" si="6"/>
        <v>44784</v>
      </c>
      <c r="C17" s="42" t="str">
        <f t="shared" si="2"/>
        <v>Thu</v>
      </c>
      <c r="D17" s="146">
        <v>0.64</v>
      </c>
      <c r="E17" s="147">
        <v>0.55000000000000004</v>
      </c>
      <c r="F17" s="147">
        <v>0.26</v>
      </c>
      <c r="G17" s="143">
        <v>12107.5</v>
      </c>
      <c r="H17" s="148">
        <v>0.56699999999999995</v>
      </c>
      <c r="I17" s="95"/>
      <c r="J17" s="22">
        <v>0</v>
      </c>
      <c r="K17" s="183">
        <v>1515789</v>
      </c>
      <c r="L17" s="127">
        <v>21620</v>
      </c>
      <c r="M17" s="26"/>
      <c r="N17" s="26"/>
      <c r="O17" s="22"/>
      <c r="P17" s="22">
        <v>3331</v>
      </c>
      <c r="Q17" s="21">
        <v>0</v>
      </c>
      <c r="R17" s="22">
        <v>44134</v>
      </c>
      <c r="S17" s="21">
        <v>0</v>
      </c>
      <c r="T17" s="50">
        <v>0</v>
      </c>
      <c r="U17" s="138">
        <v>0</v>
      </c>
      <c r="V17" s="49">
        <f t="shared" si="0"/>
        <v>0</v>
      </c>
      <c r="W17" s="50">
        <v>0</v>
      </c>
      <c r="X17" s="139">
        <v>21620</v>
      </c>
      <c r="Y17" s="49">
        <f t="shared" si="1"/>
        <v>21620</v>
      </c>
      <c r="Z17" s="140">
        <v>0</v>
      </c>
      <c r="AA17" s="140">
        <v>0</v>
      </c>
      <c r="AB17" s="140">
        <v>0</v>
      </c>
      <c r="AC17" s="140">
        <v>23.970000000000027</v>
      </c>
      <c r="AD17" s="244">
        <v>133.72999999999999</v>
      </c>
      <c r="AE17" s="243">
        <f t="shared" si="4"/>
        <v>1302.05</v>
      </c>
      <c r="AF17" s="190">
        <v>14</v>
      </c>
      <c r="AG17" s="7">
        <v>133.72999999999999</v>
      </c>
      <c r="AH17" s="7">
        <f t="shared" si="7"/>
        <v>1301.08</v>
      </c>
      <c r="AI17" s="256">
        <v>133.72999999999999</v>
      </c>
      <c r="AJ17" s="256"/>
      <c r="AK17" s="256">
        <v>133.72999999999999</v>
      </c>
      <c r="AL17" s="204">
        <v>235229</v>
      </c>
      <c r="AM17" s="90">
        <f t="shared" si="5"/>
        <v>2991</v>
      </c>
      <c r="AN17" s="210">
        <v>26886</v>
      </c>
      <c r="AO17" s="76">
        <f t="shared" si="3"/>
        <v>371</v>
      </c>
      <c r="AP17" s="90"/>
      <c r="AQ17" s="90"/>
      <c r="AR17" s="17">
        <v>2</v>
      </c>
      <c r="AT17" s="79"/>
      <c r="AU17" s="74"/>
      <c r="AV17" s="74"/>
    </row>
    <row r="18" spans="2:48" x14ac:dyDescent="0.25">
      <c r="B18" s="8">
        <f t="shared" si="6"/>
        <v>44785</v>
      </c>
      <c r="C18" s="42" t="str">
        <f t="shared" si="2"/>
        <v>Fri</v>
      </c>
      <c r="D18" s="141">
        <v>0.6</v>
      </c>
      <c r="E18" s="142">
        <v>0.33</v>
      </c>
      <c r="F18" s="142">
        <v>0.38</v>
      </c>
      <c r="G18" s="143">
        <v>10938.5</v>
      </c>
      <c r="H18" s="148">
        <v>0.56599999999999995</v>
      </c>
      <c r="I18" s="95"/>
      <c r="J18" s="22">
        <v>0</v>
      </c>
      <c r="K18" s="184">
        <v>1531986</v>
      </c>
      <c r="L18" s="127">
        <v>16197</v>
      </c>
      <c r="M18" s="26"/>
      <c r="N18" s="26"/>
      <c r="O18" s="22"/>
      <c r="P18" s="22">
        <v>3331</v>
      </c>
      <c r="Q18" s="21">
        <v>0</v>
      </c>
      <c r="R18" s="22">
        <v>44134</v>
      </c>
      <c r="S18" s="21">
        <v>0</v>
      </c>
      <c r="T18" s="50">
        <v>132</v>
      </c>
      <c r="U18" s="138">
        <v>0</v>
      </c>
      <c r="V18" s="49">
        <f t="shared" si="0"/>
        <v>132</v>
      </c>
      <c r="W18" s="50">
        <v>0</v>
      </c>
      <c r="X18" s="139">
        <v>16757</v>
      </c>
      <c r="Y18" s="49">
        <f t="shared" si="1"/>
        <v>16757</v>
      </c>
      <c r="Z18" s="140">
        <v>0.44999999999998863</v>
      </c>
      <c r="AA18" s="140">
        <v>0</v>
      </c>
      <c r="AB18" s="140">
        <v>0</v>
      </c>
      <c r="AC18" s="140">
        <v>21.410000000000082</v>
      </c>
      <c r="AD18" s="239">
        <v>365.56</v>
      </c>
      <c r="AE18" s="243">
        <f t="shared" si="4"/>
        <v>1667.61</v>
      </c>
      <c r="AF18" s="191">
        <v>14.44</v>
      </c>
      <c r="AG18" s="7">
        <v>365.56</v>
      </c>
      <c r="AH18" s="7">
        <f t="shared" si="7"/>
        <v>1666.6399999999999</v>
      </c>
      <c r="AI18" s="256">
        <v>365.56</v>
      </c>
      <c r="AJ18" s="256"/>
      <c r="AK18" s="256">
        <v>365.56</v>
      </c>
      <c r="AL18" s="204">
        <v>238476</v>
      </c>
      <c r="AM18" s="90">
        <f t="shared" si="5"/>
        <v>3247</v>
      </c>
      <c r="AN18" s="210">
        <v>27086</v>
      </c>
      <c r="AO18" s="76">
        <f t="shared" si="3"/>
        <v>200</v>
      </c>
      <c r="AP18" s="90"/>
      <c r="AQ18" s="90"/>
      <c r="AR18" s="17">
        <v>2</v>
      </c>
      <c r="AT18" s="79"/>
      <c r="AU18" s="74"/>
      <c r="AV18" s="74"/>
    </row>
    <row r="19" spans="2:48" x14ac:dyDescent="0.25">
      <c r="B19" s="8">
        <f t="shared" si="6"/>
        <v>44786</v>
      </c>
      <c r="C19" s="42" t="str">
        <f t="shared" si="2"/>
        <v>Sat</v>
      </c>
      <c r="D19" s="141">
        <v>0.24</v>
      </c>
      <c r="E19" s="142">
        <v>0.2</v>
      </c>
      <c r="F19" s="142">
        <v>0.21</v>
      </c>
      <c r="G19" s="143">
        <v>5427.5</v>
      </c>
      <c r="H19" s="144">
        <v>0.56999999999999995</v>
      </c>
      <c r="I19" s="95"/>
      <c r="J19" s="22">
        <v>0</v>
      </c>
      <c r="K19" s="183">
        <v>1561763</v>
      </c>
      <c r="L19" s="127">
        <v>29777</v>
      </c>
      <c r="M19" s="26"/>
      <c r="N19" s="26"/>
      <c r="O19" s="22"/>
      <c r="P19" s="22">
        <v>3331</v>
      </c>
      <c r="Q19" s="21">
        <v>0</v>
      </c>
      <c r="R19" s="22">
        <v>44134</v>
      </c>
      <c r="S19" s="21">
        <v>0</v>
      </c>
      <c r="T19" s="50">
        <v>0</v>
      </c>
      <c r="U19" s="138">
        <v>0</v>
      </c>
      <c r="V19" s="49">
        <f t="shared" si="0"/>
        <v>0</v>
      </c>
      <c r="W19" s="50">
        <v>0</v>
      </c>
      <c r="X19" s="139">
        <v>29217</v>
      </c>
      <c r="Y19" s="49">
        <f t="shared" si="1"/>
        <v>29217</v>
      </c>
      <c r="Z19" s="140">
        <v>0</v>
      </c>
      <c r="AA19" s="140">
        <v>0</v>
      </c>
      <c r="AB19" s="140">
        <v>0</v>
      </c>
      <c r="AC19" s="140">
        <v>22.539999999999964</v>
      </c>
      <c r="AD19" s="244">
        <v>359.72</v>
      </c>
      <c r="AE19" s="243">
        <f t="shared" si="4"/>
        <v>2027.33</v>
      </c>
      <c r="AF19" s="191">
        <v>14.39</v>
      </c>
      <c r="AG19" s="7">
        <v>360.72</v>
      </c>
      <c r="AH19" s="7">
        <f t="shared" si="7"/>
        <v>2027.36</v>
      </c>
      <c r="AI19" s="256">
        <v>360.72</v>
      </c>
      <c r="AJ19" s="256"/>
      <c r="AK19" s="256">
        <v>360.72</v>
      </c>
      <c r="AL19" s="204">
        <v>241415</v>
      </c>
      <c r="AM19" s="90">
        <f t="shared" si="5"/>
        <v>2939</v>
      </c>
      <c r="AN19" s="210">
        <v>27386</v>
      </c>
      <c r="AO19" s="76">
        <f t="shared" si="3"/>
        <v>300</v>
      </c>
      <c r="AP19" s="90"/>
      <c r="AQ19" s="90"/>
      <c r="AR19" s="17">
        <v>2</v>
      </c>
      <c r="AT19" s="79"/>
      <c r="AU19" s="74"/>
      <c r="AV19" s="74"/>
    </row>
    <row r="20" spans="2:48" x14ac:dyDescent="0.25">
      <c r="B20" s="8">
        <f t="shared" si="6"/>
        <v>44787</v>
      </c>
      <c r="C20" s="42" t="str">
        <f t="shared" si="2"/>
        <v>Sun</v>
      </c>
      <c r="D20" s="176">
        <v>0.91</v>
      </c>
      <c r="E20" s="176">
        <v>0.64</v>
      </c>
      <c r="F20" s="176">
        <v>0.8</v>
      </c>
      <c r="G20" s="143">
        <v>19622.5</v>
      </c>
      <c r="H20" s="144">
        <v>0.56299999999999994</v>
      </c>
      <c r="I20" s="95"/>
      <c r="J20" s="22">
        <v>0</v>
      </c>
      <c r="K20" s="184">
        <v>1572664</v>
      </c>
      <c r="L20" s="127">
        <v>10901</v>
      </c>
      <c r="M20" s="26"/>
      <c r="N20" s="26"/>
      <c r="O20" s="22"/>
      <c r="P20" s="22">
        <v>3331</v>
      </c>
      <c r="Q20" s="21">
        <v>0</v>
      </c>
      <c r="R20" s="22">
        <v>46057</v>
      </c>
      <c r="S20" s="21">
        <v>1923</v>
      </c>
      <c r="T20" s="103">
        <v>0</v>
      </c>
      <c r="U20" s="104">
        <v>0</v>
      </c>
      <c r="V20" s="107">
        <f t="shared" ref="V20:V37" si="8">SUM(T20:U20)</f>
        <v>0</v>
      </c>
      <c r="W20" s="109">
        <v>0</v>
      </c>
      <c r="X20" s="103">
        <v>10901</v>
      </c>
      <c r="Y20" s="49">
        <f t="shared" ref="Y20:Y37" si="9">SUM(W20:X20)</f>
        <v>10901</v>
      </c>
      <c r="Z20" s="106">
        <v>0</v>
      </c>
      <c r="AA20" s="106">
        <v>0</v>
      </c>
      <c r="AB20" s="106">
        <v>0</v>
      </c>
      <c r="AC20" s="106">
        <v>9.5999999999999091</v>
      </c>
      <c r="AD20" s="244">
        <v>0</v>
      </c>
      <c r="AE20" s="243">
        <f t="shared" si="4"/>
        <v>2027.33</v>
      </c>
      <c r="AF20" s="191"/>
      <c r="AG20" s="7">
        <v>0</v>
      </c>
      <c r="AH20" s="7">
        <f t="shared" si="7"/>
        <v>2027.36</v>
      </c>
      <c r="AI20" s="256">
        <v>0</v>
      </c>
      <c r="AJ20" s="256"/>
      <c r="AK20" s="256">
        <v>0</v>
      </c>
      <c r="AL20" s="204">
        <v>244530</v>
      </c>
      <c r="AM20" s="90">
        <f t="shared" si="5"/>
        <v>3115</v>
      </c>
      <c r="AN20" s="210">
        <v>28003</v>
      </c>
      <c r="AO20" s="76">
        <f t="shared" si="3"/>
        <v>617</v>
      </c>
      <c r="AP20" s="90"/>
      <c r="AQ20" s="90"/>
      <c r="AR20" s="17" t="s">
        <v>54</v>
      </c>
      <c r="AT20" s="79"/>
      <c r="AU20" s="74"/>
      <c r="AV20" s="74"/>
    </row>
    <row r="21" spans="2:48" x14ac:dyDescent="0.25">
      <c r="B21" s="8">
        <f t="shared" si="6"/>
        <v>44788</v>
      </c>
      <c r="C21" s="42" t="str">
        <f t="shared" si="2"/>
        <v>Mon</v>
      </c>
      <c r="D21" s="176">
        <v>0.87</v>
      </c>
      <c r="E21" s="176">
        <v>0.75</v>
      </c>
      <c r="F21" s="176">
        <v>0.71</v>
      </c>
      <c r="G21" s="143">
        <v>19455.5</v>
      </c>
      <c r="H21" s="151">
        <v>0.55400000000000005</v>
      </c>
      <c r="I21" s="95"/>
      <c r="J21" s="22">
        <v>0</v>
      </c>
      <c r="K21" s="182">
        <v>1586962</v>
      </c>
      <c r="L21" s="127">
        <v>14298</v>
      </c>
      <c r="M21" s="26"/>
      <c r="N21" s="26"/>
      <c r="O21" s="22"/>
      <c r="P21" s="22">
        <v>3331</v>
      </c>
      <c r="Q21" s="21">
        <v>0</v>
      </c>
      <c r="R21" s="22">
        <v>46057</v>
      </c>
      <c r="S21" s="21">
        <v>0</v>
      </c>
      <c r="T21" s="103">
        <v>0</v>
      </c>
      <c r="U21" s="104">
        <v>0</v>
      </c>
      <c r="V21" s="107">
        <f t="shared" si="8"/>
        <v>0</v>
      </c>
      <c r="W21" s="109">
        <v>0</v>
      </c>
      <c r="X21" s="103">
        <v>14324</v>
      </c>
      <c r="Y21" s="49">
        <f t="shared" si="9"/>
        <v>14324</v>
      </c>
      <c r="Z21" s="106">
        <v>0</v>
      </c>
      <c r="AA21" s="106">
        <v>0</v>
      </c>
      <c r="AB21" s="106">
        <v>0</v>
      </c>
      <c r="AC21" s="106">
        <v>18.120000000000118</v>
      </c>
      <c r="AD21" s="244">
        <v>0</v>
      </c>
      <c r="AE21" s="243">
        <f t="shared" si="4"/>
        <v>2027.33</v>
      </c>
      <c r="AF21" s="191"/>
      <c r="AG21" s="7">
        <v>0</v>
      </c>
      <c r="AH21" s="7">
        <f t="shared" si="7"/>
        <v>2027.36</v>
      </c>
      <c r="AI21" s="256">
        <v>0</v>
      </c>
      <c r="AJ21" s="256"/>
      <c r="AK21" s="256">
        <v>0</v>
      </c>
      <c r="AL21" s="204">
        <v>247304</v>
      </c>
      <c r="AM21" s="90">
        <f t="shared" si="5"/>
        <v>2774</v>
      </c>
      <c r="AN21" s="210">
        <v>28462</v>
      </c>
      <c r="AO21" s="76">
        <f t="shared" si="3"/>
        <v>459</v>
      </c>
      <c r="AP21" s="90"/>
      <c r="AQ21" s="90"/>
      <c r="AR21" s="17">
        <v>1</v>
      </c>
      <c r="AU21" s="74"/>
      <c r="AV21" s="74"/>
    </row>
    <row r="22" spans="2:48" x14ac:dyDescent="0.25">
      <c r="B22" s="8">
        <f t="shared" si="6"/>
        <v>44789</v>
      </c>
      <c r="C22" s="42" t="str">
        <f t="shared" si="2"/>
        <v>Tue</v>
      </c>
      <c r="D22" s="179">
        <v>0.51</v>
      </c>
      <c r="E22" s="179">
        <v>0.23</v>
      </c>
      <c r="F22" s="179">
        <v>0.25</v>
      </c>
      <c r="G22" s="143">
        <v>8266.5</v>
      </c>
      <c r="H22" s="151">
        <v>0.56000000000000005</v>
      </c>
      <c r="I22" s="95"/>
      <c r="J22" s="22">
        <v>0</v>
      </c>
      <c r="K22" s="182">
        <v>1612995</v>
      </c>
      <c r="L22" s="127">
        <v>26033</v>
      </c>
      <c r="M22" s="26"/>
      <c r="N22" s="26"/>
      <c r="O22" s="22"/>
      <c r="P22" s="22">
        <v>3331</v>
      </c>
      <c r="Q22" s="21">
        <v>0</v>
      </c>
      <c r="R22" s="22">
        <v>46057</v>
      </c>
      <c r="S22" s="21">
        <v>0</v>
      </c>
      <c r="T22" s="103">
        <v>628</v>
      </c>
      <c r="U22" s="104">
        <v>0</v>
      </c>
      <c r="V22" s="107">
        <f t="shared" si="8"/>
        <v>628</v>
      </c>
      <c r="W22" s="109">
        <v>0</v>
      </c>
      <c r="X22" s="103">
        <v>26007</v>
      </c>
      <c r="Y22" s="49">
        <f t="shared" si="9"/>
        <v>26007</v>
      </c>
      <c r="Z22" s="106">
        <v>1.6999999999999886</v>
      </c>
      <c r="AA22" s="106">
        <v>0</v>
      </c>
      <c r="AB22" s="106">
        <v>0</v>
      </c>
      <c r="AC22" s="106">
        <v>23.529999999999973</v>
      </c>
      <c r="AD22" s="244">
        <v>289.83999999999997</v>
      </c>
      <c r="AE22" s="243">
        <f t="shared" si="4"/>
        <v>2317.17</v>
      </c>
      <c r="AF22" s="191">
        <v>15.49</v>
      </c>
      <c r="AG22" s="135">
        <v>289.83999999999997</v>
      </c>
      <c r="AH22" s="7">
        <f t="shared" si="7"/>
        <v>2317.1999999999998</v>
      </c>
      <c r="AI22" s="256">
        <v>289.83999999999997</v>
      </c>
      <c r="AJ22" s="256"/>
      <c r="AK22" s="256">
        <v>289.83999999999997</v>
      </c>
      <c r="AL22" s="204">
        <v>250292</v>
      </c>
      <c r="AM22" s="90">
        <f t="shared" si="5"/>
        <v>2988</v>
      </c>
      <c r="AN22" s="210">
        <v>29007</v>
      </c>
      <c r="AO22" s="76">
        <f t="shared" si="3"/>
        <v>545</v>
      </c>
      <c r="AP22" s="90"/>
      <c r="AQ22" s="90"/>
      <c r="AR22" s="17">
        <v>2</v>
      </c>
      <c r="AU22" s="74"/>
      <c r="AV22" s="74"/>
    </row>
    <row r="23" spans="2:48" x14ac:dyDescent="0.25">
      <c r="B23" s="8">
        <f t="shared" si="6"/>
        <v>44790</v>
      </c>
      <c r="C23" s="42" t="str">
        <f t="shared" si="2"/>
        <v>Wed</v>
      </c>
      <c r="D23" s="180">
        <v>0.88</v>
      </c>
      <c r="E23" s="180">
        <v>0.6</v>
      </c>
      <c r="F23" s="180">
        <v>0.61</v>
      </c>
      <c r="G23" s="143">
        <v>17451.5</v>
      </c>
      <c r="H23" s="152">
        <v>0.56399999999999995</v>
      </c>
      <c r="I23" s="95"/>
      <c r="J23" s="22">
        <v>0</v>
      </c>
      <c r="K23" s="185">
        <v>1631797</v>
      </c>
      <c r="L23" s="127">
        <v>18802</v>
      </c>
      <c r="M23" s="26"/>
      <c r="N23" s="26"/>
      <c r="O23" s="22"/>
      <c r="P23" s="22">
        <v>3331</v>
      </c>
      <c r="Q23" s="21">
        <v>0</v>
      </c>
      <c r="R23" s="22">
        <v>46057</v>
      </c>
      <c r="S23" s="21">
        <v>0</v>
      </c>
      <c r="T23" s="103">
        <v>0</v>
      </c>
      <c r="U23" s="104">
        <v>0</v>
      </c>
      <c r="V23" s="107">
        <f t="shared" si="8"/>
        <v>0</v>
      </c>
      <c r="W23" s="109">
        <v>0</v>
      </c>
      <c r="X23" s="103">
        <v>18802</v>
      </c>
      <c r="Y23" s="49">
        <f t="shared" si="9"/>
        <v>18802</v>
      </c>
      <c r="Z23" s="106">
        <v>0</v>
      </c>
      <c r="AA23" s="106">
        <v>0</v>
      </c>
      <c r="AB23" s="106">
        <v>0</v>
      </c>
      <c r="AC23" s="106">
        <v>20.579999999999927</v>
      </c>
      <c r="AD23" s="244">
        <v>286.62</v>
      </c>
      <c r="AE23" s="243">
        <f t="shared" si="4"/>
        <v>2603.79</v>
      </c>
      <c r="AF23" s="191">
        <v>15.34</v>
      </c>
      <c r="AG23" s="134">
        <v>286.62</v>
      </c>
      <c r="AH23" s="7">
        <f t="shared" si="7"/>
        <v>2603.8199999999997</v>
      </c>
      <c r="AI23" s="256">
        <v>286.62</v>
      </c>
      <c r="AJ23" s="256"/>
      <c r="AK23" s="256">
        <v>286.62</v>
      </c>
      <c r="AL23" s="204">
        <v>252981</v>
      </c>
      <c r="AM23" s="90">
        <f t="shared" si="5"/>
        <v>2689</v>
      </c>
      <c r="AN23" s="210">
        <v>29499</v>
      </c>
      <c r="AO23" s="76">
        <f t="shared" si="3"/>
        <v>492</v>
      </c>
      <c r="AP23" s="90"/>
      <c r="AQ23" s="90"/>
      <c r="AR23" s="17">
        <v>2</v>
      </c>
    </row>
    <row r="24" spans="2:48" x14ac:dyDescent="0.25">
      <c r="B24" s="8">
        <f t="shared" si="6"/>
        <v>44791</v>
      </c>
      <c r="C24" s="42" t="str">
        <f t="shared" si="2"/>
        <v>Thu</v>
      </c>
      <c r="D24" s="180">
        <v>0.68</v>
      </c>
      <c r="E24" s="180">
        <v>0.71</v>
      </c>
      <c r="F24" s="180">
        <v>0.71</v>
      </c>
      <c r="G24" s="143">
        <v>17535</v>
      </c>
      <c r="H24" s="152">
        <v>0.56399999999999995</v>
      </c>
      <c r="I24" s="95"/>
      <c r="J24" s="22">
        <v>0</v>
      </c>
      <c r="K24" s="182">
        <v>1657040</v>
      </c>
      <c r="L24" s="127">
        <v>25243</v>
      </c>
      <c r="M24" s="26"/>
      <c r="N24" s="26"/>
      <c r="O24" s="22"/>
      <c r="P24" s="22">
        <v>3331</v>
      </c>
      <c r="Q24" s="21">
        <v>0</v>
      </c>
      <c r="R24" s="22">
        <v>46057</v>
      </c>
      <c r="S24" s="21">
        <v>0</v>
      </c>
      <c r="T24" s="103">
        <v>0</v>
      </c>
      <c r="U24" s="104">
        <v>0</v>
      </c>
      <c r="V24" s="107">
        <f t="shared" si="8"/>
        <v>0</v>
      </c>
      <c r="W24" s="109">
        <v>0</v>
      </c>
      <c r="X24" s="103">
        <v>25243</v>
      </c>
      <c r="Y24" s="49">
        <f t="shared" si="9"/>
        <v>25243</v>
      </c>
      <c r="Z24" s="106">
        <v>0</v>
      </c>
      <c r="AA24" s="106">
        <v>0</v>
      </c>
      <c r="AB24" s="106">
        <v>0</v>
      </c>
      <c r="AC24" s="106">
        <v>22.290000000000191</v>
      </c>
      <c r="AD24" s="244">
        <v>313.43</v>
      </c>
      <c r="AE24" s="243">
        <f t="shared" si="4"/>
        <v>2917.22</v>
      </c>
      <c r="AF24" s="191">
        <v>14.17</v>
      </c>
      <c r="AG24" s="7">
        <v>313.33</v>
      </c>
      <c r="AH24" s="7">
        <f t="shared" si="7"/>
        <v>2917.1499999999996</v>
      </c>
      <c r="AI24" s="256">
        <v>313.33</v>
      </c>
      <c r="AJ24" s="256"/>
      <c r="AK24" s="256">
        <v>313.33</v>
      </c>
      <c r="AL24" s="204">
        <v>255645</v>
      </c>
      <c r="AM24" s="90">
        <f t="shared" si="5"/>
        <v>2664</v>
      </c>
      <c r="AN24" s="210">
        <v>30016</v>
      </c>
      <c r="AO24" s="76">
        <f t="shared" si="3"/>
        <v>517</v>
      </c>
      <c r="AP24" s="90"/>
      <c r="AQ24" s="90"/>
      <c r="AR24" s="17">
        <v>2</v>
      </c>
      <c r="AT24" s="74"/>
    </row>
    <row r="25" spans="2:48" x14ac:dyDescent="0.25">
      <c r="B25" s="8">
        <f t="shared" si="6"/>
        <v>44792</v>
      </c>
      <c r="C25" s="42" t="str">
        <f t="shared" si="2"/>
        <v>Fri</v>
      </c>
      <c r="D25" s="180">
        <v>0.54</v>
      </c>
      <c r="E25" s="180">
        <v>0.59</v>
      </c>
      <c r="F25" s="180">
        <v>0.64</v>
      </c>
      <c r="G25" s="143">
        <v>14779.5</v>
      </c>
      <c r="H25" s="152">
        <v>0.56999999999999995</v>
      </c>
      <c r="I25" s="95"/>
      <c r="J25" s="22">
        <v>0</v>
      </c>
      <c r="K25" s="182">
        <v>1688089</v>
      </c>
      <c r="L25" s="127">
        <v>31049</v>
      </c>
      <c r="M25" s="26"/>
      <c r="N25" s="26"/>
      <c r="O25" s="22"/>
      <c r="P25" s="22">
        <v>3331</v>
      </c>
      <c r="Q25" s="21">
        <v>0</v>
      </c>
      <c r="R25" s="22">
        <v>46057</v>
      </c>
      <c r="S25" s="21">
        <v>0</v>
      </c>
      <c r="T25" s="103">
        <v>0</v>
      </c>
      <c r="U25" s="104">
        <v>0</v>
      </c>
      <c r="V25" s="107">
        <f t="shared" si="8"/>
        <v>0</v>
      </c>
      <c r="W25" s="109">
        <v>0</v>
      </c>
      <c r="X25" s="103">
        <v>31049</v>
      </c>
      <c r="Y25" s="49">
        <f t="shared" si="9"/>
        <v>31049</v>
      </c>
      <c r="Z25" s="106">
        <v>0</v>
      </c>
      <c r="AA25" s="106">
        <v>0</v>
      </c>
      <c r="AB25" s="106">
        <v>0</v>
      </c>
      <c r="AC25" s="106">
        <v>24.029999999999973</v>
      </c>
      <c r="AD25" s="244">
        <v>359.15</v>
      </c>
      <c r="AE25" s="243">
        <f t="shared" si="4"/>
        <v>3276.37</v>
      </c>
      <c r="AF25" s="191">
        <v>14.65</v>
      </c>
      <c r="AG25" s="7">
        <v>359.15</v>
      </c>
      <c r="AH25" s="7">
        <f>AG25+AH24</f>
        <v>3276.2999999999997</v>
      </c>
      <c r="AI25" s="256">
        <v>359.15</v>
      </c>
      <c r="AJ25" s="256"/>
      <c r="AK25" s="256">
        <v>359.15</v>
      </c>
      <c r="AL25" s="204">
        <v>259063</v>
      </c>
      <c r="AM25" s="90">
        <f t="shared" si="5"/>
        <v>3418</v>
      </c>
      <c r="AN25" s="210">
        <v>30444</v>
      </c>
      <c r="AO25" s="76">
        <f t="shared" si="3"/>
        <v>428</v>
      </c>
      <c r="AP25" s="90"/>
      <c r="AQ25" s="90"/>
      <c r="AR25" s="17">
        <v>2</v>
      </c>
      <c r="AT25" s="74"/>
    </row>
    <row r="26" spans="2:48" x14ac:dyDescent="0.25">
      <c r="B26" s="8">
        <f t="shared" si="6"/>
        <v>44793</v>
      </c>
      <c r="C26" s="42" t="str">
        <f t="shared" si="2"/>
        <v>Sat</v>
      </c>
      <c r="D26" s="180">
        <v>0.27</v>
      </c>
      <c r="E26" s="180">
        <v>0.17</v>
      </c>
      <c r="F26" s="180">
        <v>0.1</v>
      </c>
      <c r="G26" s="143">
        <v>4509</v>
      </c>
      <c r="H26" s="152">
        <v>0.57199999999999995</v>
      </c>
      <c r="I26" s="95"/>
      <c r="J26" s="22">
        <v>0</v>
      </c>
      <c r="K26" s="182">
        <v>1722173</v>
      </c>
      <c r="L26" s="127">
        <v>34084</v>
      </c>
      <c r="M26" s="26"/>
      <c r="N26" s="26"/>
      <c r="O26" s="22"/>
      <c r="P26" s="22">
        <v>3331</v>
      </c>
      <c r="Q26" s="21">
        <v>0</v>
      </c>
      <c r="R26" s="22">
        <v>57882</v>
      </c>
      <c r="S26" s="21">
        <v>11825</v>
      </c>
      <c r="T26" s="103">
        <v>0</v>
      </c>
      <c r="U26" s="104">
        <v>0</v>
      </c>
      <c r="V26" s="107">
        <f t="shared" si="8"/>
        <v>0</v>
      </c>
      <c r="W26" s="109">
        <v>0</v>
      </c>
      <c r="X26" s="103">
        <v>34084</v>
      </c>
      <c r="Y26" s="49">
        <f t="shared" si="9"/>
        <v>34084</v>
      </c>
      <c r="Z26" s="106">
        <v>0</v>
      </c>
      <c r="AA26" s="106">
        <v>0</v>
      </c>
      <c r="AB26" s="106">
        <v>0</v>
      </c>
      <c r="AC26" s="106">
        <v>23.699999999999818</v>
      </c>
      <c r="AD26" s="244">
        <v>131.07</v>
      </c>
      <c r="AE26" s="243">
        <f t="shared" si="4"/>
        <v>3407.44</v>
      </c>
      <c r="AF26" s="191">
        <v>17.579999999999998</v>
      </c>
      <c r="AG26" s="7">
        <v>131.07</v>
      </c>
      <c r="AH26" s="7">
        <f t="shared" si="7"/>
        <v>3407.37</v>
      </c>
      <c r="AI26" s="256">
        <v>131.07</v>
      </c>
      <c r="AJ26" s="256"/>
      <c r="AK26" s="256">
        <v>131.07</v>
      </c>
      <c r="AL26" s="204">
        <v>262084</v>
      </c>
      <c r="AM26" s="90">
        <f t="shared" si="5"/>
        <v>3021</v>
      </c>
      <c r="AN26" s="210">
        <v>30744</v>
      </c>
      <c r="AO26" s="76">
        <f t="shared" si="3"/>
        <v>300</v>
      </c>
      <c r="AP26" s="90"/>
      <c r="AQ26" s="90"/>
      <c r="AR26" s="17">
        <v>1</v>
      </c>
      <c r="AT26" s="74"/>
    </row>
    <row r="27" spans="2:48" x14ac:dyDescent="0.25">
      <c r="B27" s="8">
        <f t="shared" si="6"/>
        <v>44794</v>
      </c>
      <c r="C27" s="42" t="str">
        <f t="shared" si="2"/>
        <v>Sun</v>
      </c>
      <c r="D27" s="180">
        <v>0.69</v>
      </c>
      <c r="E27" s="180">
        <v>0.61</v>
      </c>
      <c r="F27" s="180">
        <v>0.42</v>
      </c>
      <c r="G27" s="143">
        <v>14362</v>
      </c>
      <c r="H27" s="152">
        <v>0.56100000000000005</v>
      </c>
      <c r="I27" s="95"/>
      <c r="J27" s="22">
        <v>0</v>
      </c>
      <c r="K27" s="182">
        <v>1723805</v>
      </c>
      <c r="L27" s="127">
        <v>1632</v>
      </c>
      <c r="M27" s="26"/>
      <c r="N27" s="26"/>
      <c r="O27" s="22"/>
      <c r="P27" s="22">
        <v>3331</v>
      </c>
      <c r="Q27" s="21">
        <v>0</v>
      </c>
      <c r="R27" s="22">
        <v>71859</v>
      </c>
      <c r="S27" s="21">
        <v>13977</v>
      </c>
      <c r="T27" s="103">
        <v>0</v>
      </c>
      <c r="U27" s="104">
        <v>0</v>
      </c>
      <c r="V27" s="107">
        <f t="shared" si="8"/>
        <v>0</v>
      </c>
      <c r="W27" s="109">
        <v>0</v>
      </c>
      <c r="X27" s="103">
        <v>0</v>
      </c>
      <c r="Y27" s="49">
        <f t="shared" si="9"/>
        <v>0</v>
      </c>
      <c r="Z27" s="106">
        <v>0</v>
      </c>
      <c r="AA27" s="106">
        <v>0</v>
      </c>
      <c r="AB27" s="106">
        <v>0</v>
      </c>
      <c r="AC27" s="106">
        <v>0</v>
      </c>
      <c r="AD27" s="244">
        <v>0</v>
      </c>
      <c r="AE27" s="243">
        <f t="shared" si="4"/>
        <v>3407.44</v>
      </c>
      <c r="AF27" s="191"/>
      <c r="AG27" s="136">
        <v>0</v>
      </c>
      <c r="AH27" s="7">
        <f t="shared" si="7"/>
        <v>3407.37</v>
      </c>
      <c r="AI27" s="256">
        <v>0</v>
      </c>
      <c r="AJ27" s="256"/>
      <c r="AK27" s="256">
        <v>0</v>
      </c>
      <c r="AL27" s="204">
        <v>264623</v>
      </c>
      <c r="AM27" s="90">
        <f t="shared" si="5"/>
        <v>2539</v>
      </c>
      <c r="AN27" s="210">
        <v>31304</v>
      </c>
      <c r="AO27" s="76">
        <f t="shared" si="3"/>
        <v>560</v>
      </c>
      <c r="AP27" s="90"/>
      <c r="AQ27" s="90"/>
      <c r="AR27" s="17" t="s">
        <v>54</v>
      </c>
      <c r="AT27" s="74"/>
    </row>
    <row r="28" spans="2:48" ht="15" x14ac:dyDescent="0.25">
      <c r="B28" s="8">
        <f t="shared" si="6"/>
        <v>44795</v>
      </c>
      <c r="C28" s="42" t="str">
        <f t="shared" si="2"/>
        <v>Mon</v>
      </c>
      <c r="D28" s="180">
        <v>0.86</v>
      </c>
      <c r="E28" s="180">
        <v>0.74</v>
      </c>
      <c r="F28" s="180">
        <v>0.77</v>
      </c>
      <c r="G28" s="143">
        <v>19789.5</v>
      </c>
      <c r="H28" s="152">
        <v>0.55600000000000005</v>
      </c>
      <c r="I28" s="95"/>
      <c r="J28" s="22">
        <v>0</v>
      </c>
      <c r="K28" s="182">
        <v>1732028</v>
      </c>
      <c r="L28" s="127">
        <v>8223</v>
      </c>
      <c r="M28" s="26"/>
      <c r="N28" s="26"/>
      <c r="O28" s="22"/>
      <c r="P28" s="22">
        <v>3331</v>
      </c>
      <c r="Q28" s="21">
        <v>0</v>
      </c>
      <c r="R28" s="22">
        <v>79045</v>
      </c>
      <c r="S28" s="21">
        <v>7186</v>
      </c>
      <c r="T28" s="103">
        <v>0</v>
      </c>
      <c r="U28" s="104">
        <v>0</v>
      </c>
      <c r="V28" s="107">
        <f t="shared" si="8"/>
        <v>0</v>
      </c>
      <c r="W28" s="109">
        <v>0</v>
      </c>
      <c r="X28" s="103">
        <v>9870</v>
      </c>
      <c r="Y28" s="49">
        <f t="shared" si="9"/>
        <v>9870</v>
      </c>
      <c r="Z28" s="106">
        <v>0</v>
      </c>
      <c r="AA28" s="106">
        <v>0</v>
      </c>
      <c r="AB28" s="106">
        <v>0</v>
      </c>
      <c r="AC28" s="106">
        <v>17.509999999999991</v>
      </c>
      <c r="AD28" s="246">
        <v>0</v>
      </c>
      <c r="AE28" s="243">
        <f t="shared" si="4"/>
        <v>3407.44</v>
      </c>
      <c r="AF28" s="188"/>
      <c r="AG28" s="136">
        <v>0</v>
      </c>
      <c r="AH28" s="7">
        <f t="shared" si="7"/>
        <v>3407.37</v>
      </c>
      <c r="AI28" s="256">
        <v>0</v>
      </c>
      <c r="AJ28" s="256"/>
      <c r="AK28" s="256">
        <v>0</v>
      </c>
      <c r="AL28" s="204">
        <v>267483</v>
      </c>
      <c r="AM28" s="90">
        <f t="shared" si="5"/>
        <v>2860</v>
      </c>
      <c r="AN28" s="210">
        <v>31769</v>
      </c>
      <c r="AO28" s="76">
        <f t="shared" si="3"/>
        <v>465</v>
      </c>
      <c r="AP28" s="90"/>
      <c r="AQ28" s="90"/>
      <c r="AR28" s="17" t="s">
        <v>54</v>
      </c>
      <c r="AT28" s="74"/>
    </row>
    <row r="29" spans="2:48" x14ac:dyDescent="0.25">
      <c r="B29" s="8">
        <f t="shared" si="6"/>
        <v>44796</v>
      </c>
      <c r="C29" s="42" t="str">
        <f t="shared" si="2"/>
        <v>Tue</v>
      </c>
      <c r="D29" s="180">
        <v>1</v>
      </c>
      <c r="E29" s="180">
        <v>0.69</v>
      </c>
      <c r="F29" s="180">
        <v>0.55000000000000004</v>
      </c>
      <c r="G29" s="143">
        <v>18704</v>
      </c>
      <c r="H29" s="152">
        <v>0.55800000000000005</v>
      </c>
      <c r="I29" s="95"/>
      <c r="J29" s="22">
        <v>0</v>
      </c>
      <c r="K29" s="182">
        <v>1751949</v>
      </c>
      <c r="L29" s="127">
        <v>19921</v>
      </c>
      <c r="M29" s="26"/>
      <c r="N29" s="26"/>
      <c r="O29" s="22"/>
      <c r="P29" s="22">
        <v>3331</v>
      </c>
      <c r="Q29" s="21">
        <v>0</v>
      </c>
      <c r="R29" s="22">
        <v>79045</v>
      </c>
      <c r="S29" s="21">
        <v>0</v>
      </c>
      <c r="T29" s="103">
        <v>0</v>
      </c>
      <c r="U29" s="104">
        <v>0</v>
      </c>
      <c r="V29" s="107">
        <f t="shared" si="8"/>
        <v>0</v>
      </c>
      <c r="W29" s="109">
        <v>0</v>
      </c>
      <c r="X29" s="103">
        <v>19967</v>
      </c>
      <c r="Y29" s="49">
        <f t="shared" si="9"/>
        <v>19967</v>
      </c>
      <c r="Z29" s="106">
        <v>0</v>
      </c>
      <c r="AA29" s="106">
        <v>0</v>
      </c>
      <c r="AB29" s="106">
        <v>0</v>
      </c>
      <c r="AC29" s="106">
        <v>23.620000000000118</v>
      </c>
      <c r="AD29" s="244">
        <v>320.81</v>
      </c>
      <c r="AE29" s="243">
        <f t="shared" si="4"/>
        <v>3728.25</v>
      </c>
      <c r="AF29" s="191">
        <v>15.79</v>
      </c>
      <c r="AG29" s="136">
        <v>320.81</v>
      </c>
      <c r="AH29" s="7">
        <f t="shared" si="7"/>
        <v>3728.18</v>
      </c>
      <c r="AI29" s="256">
        <v>320.81</v>
      </c>
      <c r="AJ29" s="256"/>
      <c r="AK29" s="256">
        <v>320.81</v>
      </c>
      <c r="AL29" s="204">
        <v>269737</v>
      </c>
      <c r="AM29" s="90">
        <f t="shared" si="5"/>
        <v>2254</v>
      </c>
      <c r="AN29" s="211">
        <v>31969</v>
      </c>
      <c r="AO29" s="76">
        <f t="shared" si="3"/>
        <v>200</v>
      </c>
      <c r="AP29" s="90"/>
      <c r="AQ29" s="90"/>
      <c r="AR29" s="17">
        <v>2</v>
      </c>
      <c r="AT29" s="74"/>
    </row>
    <row r="30" spans="2:48" x14ac:dyDescent="0.25">
      <c r="B30" s="8">
        <f t="shared" si="6"/>
        <v>44797</v>
      </c>
      <c r="C30" s="42" t="str">
        <f t="shared" si="2"/>
        <v>Wed</v>
      </c>
      <c r="D30" s="120">
        <v>0.7</v>
      </c>
      <c r="E30" s="120">
        <v>0.53</v>
      </c>
      <c r="F30" s="120">
        <v>0.72</v>
      </c>
      <c r="G30" s="143">
        <v>16282.5</v>
      </c>
      <c r="H30" s="152">
        <v>0.56200000000000006</v>
      </c>
      <c r="I30" s="95"/>
      <c r="J30" s="22">
        <v>0</v>
      </c>
      <c r="K30" s="150">
        <v>1777475</v>
      </c>
      <c r="L30" s="127">
        <v>25526</v>
      </c>
      <c r="M30" s="26"/>
      <c r="N30" s="26"/>
      <c r="O30" s="22"/>
      <c r="P30" s="22">
        <v>3331</v>
      </c>
      <c r="Q30" s="21">
        <v>0</v>
      </c>
      <c r="R30" s="22">
        <v>79045</v>
      </c>
      <c r="S30" s="21">
        <v>0</v>
      </c>
      <c r="T30" s="103">
        <v>0</v>
      </c>
      <c r="U30" s="104">
        <v>0</v>
      </c>
      <c r="V30" s="107">
        <f t="shared" si="8"/>
        <v>0</v>
      </c>
      <c r="W30" s="109">
        <v>0</v>
      </c>
      <c r="X30" s="103">
        <v>25465</v>
      </c>
      <c r="Y30" s="49">
        <f t="shared" si="9"/>
        <v>25465</v>
      </c>
      <c r="Z30" s="106">
        <v>0</v>
      </c>
      <c r="AA30" s="106">
        <v>0</v>
      </c>
      <c r="AB30" s="106">
        <v>0</v>
      </c>
      <c r="AC30" s="106">
        <v>23.670000000000073</v>
      </c>
      <c r="AD30" s="244">
        <v>280.72000000000003</v>
      </c>
      <c r="AE30" s="243">
        <f t="shared" si="4"/>
        <v>4008.9700000000003</v>
      </c>
      <c r="AF30" s="192">
        <v>15.01</v>
      </c>
      <c r="AG30" s="7">
        <v>265.27</v>
      </c>
      <c r="AH30" s="7">
        <f t="shared" si="7"/>
        <v>3993.45</v>
      </c>
      <c r="AI30" s="256">
        <v>265.27</v>
      </c>
      <c r="AJ30" s="256"/>
      <c r="AK30" s="256">
        <v>265.27</v>
      </c>
      <c r="AL30" s="204">
        <v>272077</v>
      </c>
      <c r="AM30" s="90">
        <f t="shared" si="5"/>
        <v>2340</v>
      </c>
      <c r="AN30" s="211">
        <v>32119</v>
      </c>
      <c r="AO30" s="76">
        <f t="shared" si="3"/>
        <v>150</v>
      </c>
      <c r="AP30" s="90"/>
      <c r="AQ30" s="90"/>
      <c r="AR30" s="17">
        <v>2</v>
      </c>
    </row>
    <row r="31" spans="2:48" x14ac:dyDescent="0.25">
      <c r="B31" s="8">
        <f t="shared" si="6"/>
        <v>44798</v>
      </c>
      <c r="C31" s="42" t="str">
        <f t="shared" si="2"/>
        <v>Thu</v>
      </c>
      <c r="D31" s="118">
        <v>0.56000000000000005</v>
      </c>
      <c r="E31" s="118">
        <v>0.75</v>
      </c>
      <c r="F31" s="122">
        <v>0.57999999999999996</v>
      </c>
      <c r="G31" s="143">
        <v>15781.5</v>
      </c>
      <c r="H31" s="155">
        <v>0.56799999999999995</v>
      </c>
      <c r="I31" s="95"/>
      <c r="J31" s="22">
        <v>0</v>
      </c>
      <c r="K31" s="150">
        <v>1799575</v>
      </c>
      <c r="L31" s="127">
        <v>22100</v>
      </c>
      <c r="M31" s="26"/>
      <c r="N31" s="26"/>
      <c r="O31" s="22"/>
      <c r="P31" s="22">
        <v>3331</v>
      </c>
      <c r="Q31" s="21">
        <v>0</v>
      </c>
      <c r="R31" s="22">
        <v>79045</v>
      </c>
      <c r="S31" s="21">
        <v>0</v>
      </c>
      <c r="T31" s="103">
        <v>0</v>
      </c>
      <c r="U31" s="104">
        <v>0</v>
      </c>
      <c r="V31" s="107">
        <f t="shared" si="8"/>
        <v>0</v>
      </c>
      <c r="W31" s="109">
        <v>0</v>
      </c>
      <c r="X31" s="103">
        <v>22100</v>
      </c>
      <c r="Y31" s="49">
        <f t="shared" si="9"/>
        <v>22100</v>
      </c>
      <c r="Z31" s="106">
        <v>0.81</v>
      </c>
      <c r="AA31" s="106">
        <v>0</v>
      </c>
      <c r="AB31" s="106">
        <v>0</v>
      </c>
      <c r="AC31" s="106">
        <v>23.470000000000027</v>
      </c>
      <c r="AD31" s="247">
        <v>320.18</v>
      </c>
      <c r="AE31" s="243">
        <f t="shared" si="4"/>
        <v>4329.1500000000005</v>
      </c>
      <c r="AF31" s="192">
        <v>15.91</v>
      </c>
      <c r="AG31" s="7">
        <v>320.18</v>
      </c>
      <c r="AH31" s="7">
        <f t="shared" si="7"/>
        <v>4313.63</v>
      </c>
      <c r="AI31" s="256">
        <v>320.18</v>
      </c>
      <c r="AJ31" s="256"/>
      <c r="AK31" s="256">
        <v>320.18</v>
      </c>
      <c r="AL31" s="204">
        <v>275427</v>
      </c>
      <c r="AM31" s="90">
        <f t="shared" si="5"/>
        <v>3350</v>
      </c>
      <c r="AN31" s="211">
        <v>32319</v>
      </c>
      <c r="AO31" s="76">
        <f t="shared" si="3"/>
        <v>200</v>
      </c>
      <c r="AP31" s="90"/>
      <c r="AQ31" s="90"/>
      <c r="AR31" s="17">
        <v>2</v>
      </c>
    </row>
    <row r="32" spans="2:48" x14ac:dyDescent="0.25">
      <c r="B32" s="8">
        <f t="shared" si="6"/>
        <v>44799</v>
      </c>
      <c r="C32" s="42" t="str">
        <f t="shared" si="2"/>
        <v>Fri</v>
      </c>
      <c r="D32" s="118">
        <v>0.76</v>
      </c>
      <c r="E32" s="118">
        <v>0.59</v>
      </c>
      <c r="F32" s="122">
        <v>0.75</v>
      </c>
      <c r="G32" s="143">
        <v>17535</v>
      </c>
      <c r="H32" s="155">
        <v>0.56799999999999995</v>
      </c>
      <c r="I32" s="95"/>
      <c r="J32" s="22">
        <v>0</v>
      </c>
      <c r="K32" s="150">
        <v>1825017</v>
      </c>
      <c r="L32" s="127">
        <v>25442</v>
      </c>
      <c r="M32" s="26"/>
      <c r="N32" s="26"/>
      <c r="O32" s="22"/>
      <c r="P32" s="22">
        <v>3331</v>
      </c>
      <c r="Q32" s="21">
        <v>0</v>
      </c>
      <c r="R32" s="22">
        <v>79045</v>
      </c>
      <c r="S32" s="21">
        <v>0</v>
      </c>
      <c r="T32" s="103">
        <v>0</v>
      </c>
      <c r="U32" s="104">
        <v>0</v>
      </c>
      <c r="V32" s="107">
        <f t="shared" si="8"/>
        <v>0</v>
      </c>
      <c r="W32" s="109">
        <v>0</v>
      </c>
      <c r="X32" s="103">
        <v>25442</v>
      </c>
      <c r="Y32" s="49">
        <f t="shared" si="9"/>
        <v>25442</v>
      </c>
      <c r="Z32" s="106">
        <v>0</v>
      </c>
      <c r="AA32" s="106">
        <v>0</v>
      </c>
      <c r="AB32" s="106">
        <v>0</v>
      </c>
      <c r="AC32" s="106">
        <v>24.079999999999927</v>
      </c>
      <c r="AD32" s="247">
        <v>342.45</v>
      </c>
      <c r="AE32" s="243">
        <f t="shared" si="4"/>
        <v>4671.6000000000004</v>
      </c>
      <c r="AF32" s="192">
        <v>16.100000000000001</v>
      </c>
      <c r="AG32" s="7">
        <v>342.45</v>
      </c>
      <c r="AH32" s="7">
        <f t="shared" si="7"/>
        <v>4656.08</v>
      </c>
      <c r="AI32" s="256">
        <v>342.45</v>
      </c>
      <c r="AJ32" s="256">
        <v>6.61</v>
      </c>
      <c r="AK32" s="256">
        <v>349.06</v>
      </c>
      <c r="AL32" s="204">
        <v>278227</v>
      </c>
      <c r="AM32" s="90">
        <f t="shared" si="5"/>
        <v>2800</v>
      </c>
      <c r="AN32" s="211">
        <v>32599</v>
      </c>
      <c r="AO32" s="76">
        <f t="shared" si="3"/>
        <v>280</v>
      </c>
      <c r="AP32" s="90"/>
      <c r="AQ32" s="90"/>
      <c r="AR32" s="17">
        <v>2</v>
      </c>
    </row>
    <row r="33" spans="2:44" x14ac:dyDescent="0.25">
      <c r="B33" s="8">
        <f t="shared" si="6"/>
        <v>44800</v>
      </c>
      <c r="C33" s="42" t="str">
        <f t="shared" si="2"/>
        <v>Sat</v>
      </c>
      <c r="D33" s="118">
        <v>0.18</v>
      </c>
      <c r="E33" s="118">
        <v>0.15</v>
      </c>
      <c r="F33" s="122">
        <v>0.13</v>
      </c>
      <c r="G33" s="143">
        <v>3841</v>
      </c>
      <c r="H33" s="155">
        <v>0.57199999999999995</v>
      </c>
      <c r="I33" s="95"/>
      <c r="J33" s="22">
        <v>0</v>
      </c>
      <c r="K33" s="150">
        <v>1859913</v>
      </c>
      <c r="L33" s="127">
        <v>34896</v>
      </c>
      <c r="M33" s="26"/>
      <c r="N33" s="26"/>
      <c r="O33" s="22"/>
      <c r="P33" s="22">
        <v>3331</v>
      </c>
      <c r="Q33" s="21">
        <v>0</v>
      </c>
      <c r="R33" s="22">
        <v>79045</v>
      </c>
      <c r="S33" s="21">
        <v>0</v>
      </c>
      <c r="T33" s="103">
        <v>0</v>
      </c>
      <c r="U33" s="104">
        <v>0</v>
      </c>
      <c r="V33" s="107">
        <f t="shared" si="8"/>
        <v>0</v>
      </c>
      <c r="W33" s="109">
        <v>0</v>
      </c>
      <c r="X33" s="103">
        <v>34914</v>
      </c>
      <c r="Y33" s="49">
        <f t="shared" si="9"/>
        <v>34914</v>
      </c>
      <c r="Z33" s="106">
        <v>0</v>
      </c>
      <c r="AA33" s="106">
        <v>0</v>
      </c>
      <c r="AB33" s="106">
        <v>0</v>
      </c>
      <c r="AC33" s="106">
        <v>23.839999999999918</v>
      </c>
      <c r="AD33" s="247">
        <v>305.07</v>
      </c>
      <c r="AE33" s="243">
        <f t="shared" si="4"/>
        <v>4976.67</v>
      </c>
      <c r="AF33" s="192">
        <v>15.54</v>
      </c>
      <c r="AG33" s="7">
        <v>250.81</v>
      </c>
      <c r="AH33" s="7">
        <f t="shared" si="7"/>
        <v>4906.8900000000003</v>
      </c>
      <c r="AI33" s="256">
        <v>250.81</v>
      </c>
      <c r="AJ33" s="256"/>
      <c r="AK33" s="256">
        <v>250.81</v>
      </c>
      <c r="AL33" s="204">
        <v>281492</v>
      </c>
      <c r="AM33" s="90">
        <f t="shared" si="5"/>
        <v>3265</v>
      </c>
      <c r="AN33" s="211">
        <v>32949</v>
      </c>
      <c r="AO33" s="76">
        <f t="shared" si="3"/>
        <v>350</v>
      </c>
      <c r="AP33" s="90"/>
      <c r="AQ33" s="90"/>
      <c r="AR33" s="17">
        <v>1</v>
      </c>
    </row>
    <row r="34" spans="2:44" ht="15" x14ac:dyDescent="0.25">
      <c r="B34" s="8">
        <f t="shared" si="6"/>
        <v>44801</v>
      </c>
      <c r="C34" s="42" t="str">
        <f t="shared" si="2"/>
        <v>Sun</v>
      </c>
      <c r="D34" s="156">
        <v>0.83</v>
      </c>
      <c r="E34" s="156">
        <v>0.63</v>
      </c>
      <c r="F34" s="157">
        <v>0.86</v>
      </c>
      <c r="G34" s="143">
        <v>19372</v>
      </c>
      <c r="H34" s="155">
        <v>0.55700000000000005</v>
      </c>
      <c r="I34" s="95"/>
      <c r="J34" s="22">
        <v>0</v>
      </c>
      <c r="K34" s="150">
        <v>1859913</v>
      </c>
      <c r="L34" s="127">
        <v>0</v>
      </c>
      <c r="M34" s="26">
        <v>0.9555555555555556</v>
      </c>
      <c r="N34" s="26">
        <v>0.17500000000000002</v>
      </c>
      <c r="O34" s="22">
        <v>3344</v>
      </c>
      <c r="P34" s="22">
        <v>3331</v>
      </c>
      <c r="Q34" s="21">
        <v>0</v>
      </c>
      <c r="R34" s="22">
        <v>79126</v>
      </c>
      <c r="S34" s="21">
        <v>81</v>
      </c>
      <c r="T34" s="103">
        <v>0</v>
      </c>
      <c r="U34" s="104">
        <v>0</v>
      </c>
      <c r="V34" s="107">
        <f t="shared" si="8"/>
        <v>0</v>
      </c>
      <c r="W34" s="109">
        <v>0</v>
      </c>
      <c r="X34" s="103">
        <v>8114</v>
      </c>
      <c r="Y34" s="49">
        <f t="shared" si="9"/>
        <v>8114</v>
      </c>
      <c r="Z34" s="106">
        <v>0</v>
      </c>
      <c r="AA34" s="106">
        <v>0</v>
      </c>
      <c r="AB34" s="106">
        <v>0</v>
      </c>
      <c r="AC34" s="106">
        <v>8.6200000000001182</v>
      </c>
      <c r="AD34" s="248">
        <v>0</v>
      </c>
      <c r="AE34" s="243">
        <f t="shared" si="4"/>
        <v>4976.67</v>
      </c>
      <c r="AF34" s="189"/>
      <c r="AG34" s="7">
        <v>0</v>
      </c>
      <c r="AH34" s="7">
        <f t="shared" si="7"/>
        <v>4906.8900000000003</v>
      </c>
      <c r="AI34" s="256">
        <v>0</v>
      </c>
      <c r="AJ34" s="256"/>
      <c r="AK34" s="256">
        <v>0</v>
      </c>
      <c r="AL34" s="204">
        <v>284731</v>
      </c>
      <c r="AM34" s="90">
        <f t="shared" si="5"/>
        <v>3239</v>
      </c>
      <c r="AN34" s="211">
        <v>33200</v>
      </c>
      <c r="AO34" s="76">
        <f t="shared" si="3"/>
        <v>251</v>
      </c>
      <c r="AP34" s="90"/>
      <c r="AQ34" s="90"/>
      <c r="AR34" s="17" t="s">
        <v>54</v>
      </c>
    </row>
    <row r="35" spans="2:44" ht="15" x14ac:dyDescent="0.25">
      <c r="B35" s="8">
        <f t="shared" si="6"/>
        <v>44802</v>
      </c>
      <c r="C35" s="42" t="str">
        <f t="shared" si="2"/>
        <v>Mon</v>
      </c>
      <c r="D35" s="118">
        <v>0.96</v>
      </c>
      <c r="E35" s="118">
        <v>0.96</v>
      </c>
      <c r="F35" s="122">
        <v>0.9</v>
      </c>
      <c r="G35" s="143">
        <v>23547</v>
      </c>
      <c r="H35" s="155">
        <v>0.56399999999999995</v>
      </c>
      <c r="I35" s="95"/>
      <c r="J35" s="22">
        <v>0</v>
      </c>
      <c r="K35" s="150">
        <v>1859913</v>
      </c>
      <c r="L35" s="127">
        <v>0</v>
      </c>
      <c r="M35" s="26">
        <v>0.56597222222222221</v>
      </c>
      <c r="N35" s="26">
        <v>0.96805555555555556</v>
      </c>
      <c r="O35" s="22">
        <v>7728</v>
      </c>
      <c r="P35" s="22">
        <v>3331</v>
      </c>
      <c r="Q35" s="21">
        <v>0</v>
      </c>
      <c r="R35" s="22">
        <v>79126</v>
      </c>
      <c r="S35" s="21">
        <v>0</v>
      </c>
      <c r="T35" s="103">
        <v>0</v>
      </c>
      <c r="U35" s="104">
        <v>0</v>
      </c>
      <c r="V35" s="108">
        <f t="shared" si="8"/>
        <v>0</v>
      </c>
      <c r="W35" s="109">
        <v>0</v>
      </c>
      <c r="X35" s="77">
        <v>0</v>
      </c>
      <c r="Y35" s="49">
        <f t="shared" si="9"/>
        <v>0</v>
      </c>
      <c r="Z35" s="44">
        <v>0</v>
      </c>
      <c r="AA35" s="106">
        <v>0</v>
      </c>
      <c r="AB35" s="106">
        <v>0</v>
      </c>
      <c r="AC35" s="106">
        <v>0</v>
      </c>
      <c r="AD35" s="248">
        <v>0</v>
      </c>
      <c r="AE35" s="243">
        <f t="shared" si="4"/>
        <v>4976.67</v>
      </c>
      <c r="AF35" s="189"/>
      <c r="AG35" s="7">
        <v>0</v>
      </c>
      <c r="AH35" s="7">
        <f t="shared" si="7"/>
        <v>4906.8900000000003</v>
      </c>
      <c r="AI35" s="256">
        <v>0</v>
      </c>
      <c r="AJ35" s="256"/>
      <c r="AK35" s="256">
        <v>0</v>
      </c>
      <c r="AL35" s="204">
        <v>287748</v>
      </c>
      <c r="AM35" s="90">
        <f t="shared" si="5"/>
        <v>3017</v>
      </c>
      <c r="AN35" s="211">
        <v>33511</v>
      </c>
      <c r="AO35" s="76">
        <f t="shared" si="3"/>
        <v>311</v>
      </c>
      <c r="AP35" s="90"/>
      <c r="AQ35" s="90"/>
      <c r="AR35" s="17" t="s">
        <v>54</v>
      </c>
    </row>
    <row r="36" spans="2:44" x14ac:dyDescent="0.25">
      <c r="B36" s="8">
        <f t="shared" si="6"/>
        <v>44803</v>
      </c>
      <c r="C36" s="42" t="str">
        <f t="shared" si="2"/>
        <v>Tue</v>
      </c>
      <c r="D36" s="118">
        <v>0.81</v>
      </c>
      <c r="E36" s="118">
        <v>0.66</v>
      </c>
      <c r="F36" s="122">
        <v>0.68</v>
      </c>
      <c r="G36" s="143">
        <v>17952.5</v>
      </c>
      <c r="H36" s="155">
        <v>0.57499999999999996</v>
      </c>
      <c r="I36" s="95"/>
      <c r="J36" s="22">
        <v>0</v>
      </c>
      <c r="K36" s="150">
        <v>1891049</v>
      </c>
      <c r="L36" s="127">
        <v>31136</v>
      </c>
      <c r="M36" s="26">
        <v>6.805555555555555E-2</v>
      </c>
      <c r="N36" s="26">
        <v>9.375E-2</v>
      </c>
      <c r="O36" s="22">
        <v>794</v>
      </c>
      <c r="P36" s="22">
        <v>3331</v>
      </c>
      <c r="Q36" s="21">
        <v>0</v>
      </c>
      <c r="R36" s="22">
        <v>79126</v>
      </c>
      <c r="S36" s="21">
        <v>0</v>
      </c>
      <c r="T36" s="103">
        <v>0</v>
      </c>
      <c r="U36" s="104">
        <v>0</v>
      </c>
      <c r="V36" s="108">
        <f t="shared" si="8"/>
        <v>0</v>
      </c>
      <c r="W36" s="109">
        <v>0</v>
      </c>
      <c r="X36" s="77">
        <v>23004</v>
      </c>
      <c r="Y36" s="49">
        <f t="shared" si="9"/>
        <v>23004</v>
      </c>
      <c r="Z36" s="44">
        <v>0</v>
      </c>
      <c r="AA36" s="106">
        <v>0</v>
      </c>
      <c r="AB36" s="106">
        <v>0</v>
      </c>
      <c r="AC36" s="106">
        <v>23.399999999999864</v>
      </c>
      <c r="AD36" s="247">
        <v>268.44</v>
      </c>
      <c r="AE36" s="243">
        <f t="shared" si="4"/>
        <v>5245.11</v>
      </c>
      <c r="AF36" s="192">
        <v>15.13</v>
      </c>
      <c r="AG36" s="7">
        <v>268.44</v>
      </c>
      <c r="AH36" s="7">
        <f t="shared" si="7"/>
        <v>5175.33</v>
      </c>
      <c r="AI36" s="256">
        <v>268.44</v>
      </c>
      <c r="AJ36" s="256">
        <v>10.762</v>
      </c>
      <c r="AK36" s="256">
        <v>279.202</v>
      </c>
      <c r="AL36" s="204">
        <v>290618</v>
      </c>
      <c r="AM36" s="90">
        <f t="shared" si="5"/>
        <v>2870</v>
      </c>
      <c r="AN36" s="211">
        <v>33661</v>
      </c>
      <c r="AO36" s="76">
        <f t="shared" si="3"/>
        <v>150</v>
      </c>
      <c r="AP36" s="90"/>
      <c r="AQ36" s="90"/>
      <c r="AR36" s="17">
        <v>2</v>
      </c>
    </row>
    <row r="37" spans="2:44" x14ac:dyDescent="0.25">
      <c r="B37" s="8">
        <f t="shared" si="6"/>
        <v>44804</v>
      </c>
      <c r="C37" s="42" t="str">
        <f t="shared" si="2"/>
        <v>Wed</v>
      </c>
      <c r="D37" s="158">
        <v>0.62</v>
      </c>
      <c r="E37" s="158">
        <v>0.68</v>
      </c>
      <c r="F37" s="159">
        <v>0.74</v>
      </c>
      <c r="G37" s="160">
        <v>17034</v>
      </c>
      <c r="H37" s="161">
        <v>0.57499999999999996</v>
      </c>
      <c r="I37" s="95"/>
      <c r="J37" s="22"/>
      <c r="K37" s="162">
        <v>1914577</v>
      </c>
      <c r="L37" s="127">
        <v>23528</v>
      </c>
      <c r="M37" s="26"/>
      <c r="N37" s="26"/>
      <c r="O37" s="22"/>
      <c r="P37" s="22">
        <v>3331</v>
      </c>
      <c r="Q37" s="21">
        <v>0</v>
      </c>
      <c r="R37" s="22">
        <v>79126</v>
      </c>
      <c r="S37" s="21">
        <v>0</v>
      </c>
      <c r="T37" s="77"/>
      <c r="U37" s="84"/>
      <c r="V37" s="108">
        <f t="shared" si="8"/>
        <v>0</v>
      </c>
      <c r="W37" s="109"/>
      <c r="X37" s="77">
        <v>23528</v>
      </c>
      <c r="Y37" s="49">
        <f t="shared" si="9"/>
        <v>23528</v>
      </c>
      <c r="Z37" s="44">
        <v>0</v>
      </c>
      <c r="AA37" s="106">
        <v>0</v>
      </c>
      <c r="AB37" s="106">
        <v>0</v>
      </c>
      <c r="AC37" s="106">
        <v>22.04</v>
      </c>
      <c r="AD37" s="247">
        <v>254.1</v>
      </c>
      <c r="AE37" s="243">
        <f t="shared" si="4"/>
        <v>5499.21</v>
      </c>
      <c r="AF37" s="192">
        <v>14.3</v>
      </c>
      <c r="AG37" s="7">
        <v>254.1</v>
      </c>
      <c r="AH37" s="7"/>
      <c r="AI37" s="257">
        <v>254.1</v>
      </c>
      <c r="AJ37" s="257">
        <v>11.055999999999999</v>
      </c>
      <c r="AK37" s="257">
        <v>265.15600000000001</v>
      </c>
      <c r="AL37" s="204">
        <v>293338</v>
      </c>
      <c r="AM37" s="90">
        <f t="shared" si="5"/>
        <v>2720</v>
      </c>
      <c r="AN37" s="211">
        <v>33861</v>
      </c>
      <c r="AO37" s="76">
        <f t="shared" si="3"/>
        <v>200</v>
      </c>
      <c r="AP37" s="90"/>
      <c r="AQ37" s="90"/>
      <c r="AR37" s="17">
        <v>2</v>
      </c>
    </row>
    <row r="38" spans="2:44" x14ac:dyDescent="0.25">
      <c r="B38" s="14" t="s">
        <v>48</v>
      </c>
      <c r="C38" s="14"/>
      <c r="D38" s="69">
        <f>AVERAGE(D7:D36)</f>
        <v>0.6456666666666665</v>
      </c>
      <c r="E38" s="69">
        <f>AVERAGE(E7:E36)</f>
        <v>0.51466666666666661</v>
      </c>
      <c r="F38" s="69">
        <f>AVERAGE(F7:F36)</f>
        <v>0.47466666666666668</v>
      </c>
      <c r="G38" s="173">
        <f>SUM(G7:G37)</f>
        <v>426601.5</v>
      </c>
      <c r="H38" s="174">
        <f>AVERAGE(H7:H36)</f>
        <v>0.56366666666666654</v>
      </c>
      <c r="I38" s="14"/>
      <c r="J38" s="65">
        <f>SUMIFS(J7:J36,J7:J36,"&gt;0")</f>
        <v>0</v>
      </c>
      <c r="K38" s="175">
        <f>MAX(K7:K37)</f>
        <v>1914577</v>
      </c>
      <c r="L38" s="137">
        <f>SUMIFS(L7:L37,L7:L37,"&gt;0")</f>
        <v>547332</v>
      </c>
      <c r="M38" s="67"/>
      <c r="N38" s="67"/>
      <c r="O38" s="65">
        <f>SUM(O7:O36)</f>
        <v>11866</v>
      </c>
      <c r="P38" s="67"/>
      <c r="Q38" s="65">
        <f>SUMIFS(Q7:Q36,Q7:Q36,"&gt;0")</f>
        <v>0</v>
      </c>
      <c r="R38" s="67"/>
      <c r="S38" s="65">
        <f>SUMIFS(S7:S36,S7:S36,"&gt;0")</f>
        <v>75752</v>
      </c>
      <c r="T38" s="65">
        <f t="shared" ref="T38:AG38" si="10">SUM(T7:T37)</f>
        <v>45233</v>
      </c>
      <c r="U38" s="65">
        <f t="shared" si="10"/>
        <v>8954</v>
      </c>
      <c r="V38" s="65">
        <f t="shared" si="10"/>
        <v>54187</v>
      </c>
      <c r="W38" s="65"/>
      <c r="X38" s="65"/>
      <c r="Y38" s="137">
        <f t="shared" si="10"/>
        <v>547332</v>
      </c>
      <c r="Z38" s="65">
        <f t="shared" si="10"/>
        <v>78.549999999999955</v>
      </c>
      <c r="AA38" s="65">
        <f t="shared" si="10"/>
        <v>12.879999999999995</v>
      </c>
      <c r="AB38" s="65">
        <f t="shared" si="10"/>
        <v>0</v>
      </c>
      <c r="AC38" s="65">
        <f t="shared" si="10"/>
        <v>540.41999999999985</v>
      </c>
      <c r="AD38" s="238">
        <f>SUM(AD7:AD37)</f>
        <v>5499.21</v>
      </c>
      <c r="AE38" s="11"/>
      <c r="AF38" s="258">
        <f>AVERAGE(AF7:AF37)</f>
        <v>15.080526315789472</v>
      </c>
      <c r="AG38" s="65">
        <f t="shared" si="10"/>
        <v>5429.43</v>
      </c>
      <c r="AH38" s="68"/>
      <c r="AI38" s="68">
        <v>5429.43</v>
      </c>
      <c r="AJ38" s="68">
        <v>28.427999999999997</v>
      </c>
      <c r="AK38" s="68">
        <v>5457.8580000000011</v>
      </c>
      <c r="AL38" s="66"/>
      <c r="AM38" s="65">
        <f>SUM(AM7:AM37)</f>
        <v>80590</v>
      </c>
      <c r="AN38" s="99"/>
      <c r="AO38" s="65">
        <f>SUM(AO7:AO37)</f>
        <v>10714</v>
      </c>
      <c r="AP38" s="65"/>
      <c r="AQ38" s="65"/>
      <c r="AR38" s="5"/>
    </row>
    <row r="39" spans="2:44" x14ac:dyDescent="0.25">
      <c r="L39" s="72"/>
      <c r="Q39" s="63"/>
      <c r="S39" s="63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236"/>
      <c r="AE39" s="63"/>
      <c r="AG39" s="63"/>
      <c r="AH39" s="63"/>
      <c r="AI39" s="63"/>
      <c r="AJ39" s="63"/>
      <c r="AK39" s="63"/>
      <c r="AO39" s="63"/>
      <c r="AP39" s="63"/>
      <c r="AQ39" s="63"/>
    </row>
    <row r="40" spans="2:44" x14ac:dyDescent="0.25">
      <c r="K40" s="88"/>
      <c r="L40" s="87"/>
      <c r="O40" s="89"/>
      <c r="Q40" s="91"/>
      <c r="S40" s="91"/>
      <c r="AD40" s="237"/>
      <c r="AF40" s="85"/>
      <c r="AG40" s="74"/>
      <c r="AL40" s="85"/>
      <c r="AM40" s="85"/>
      <c r="AN40" s="85"/>
      <c r="AO40" s="73"/>
      <c r="AP40" s="73"/>
      <c r="AQ40" s="73"/>
    </row>
    <row r="41" spans="2:44" x14ac:dyDescent="0.25">
      <c r="C41" s="16"/>
      <c r="L41" s="80"/>
      <c r="P41" s="88"/>
      <c r="R41" s="88"/>
      <c r="AF41" s="86"/>
      <c r="AL41" s="86"/>
      <c r="AM41" s="86"/>
      <c r="AN41" s="86"/>
      <c r="AO41" s="73"/>
      <c r="AP41" s="73"/>
      <c r="AQ41" s="73"/>
    </row>
    <row r="42" spans="2:44" x14ac:dyDescent="0.25">
      <c r="AO42" s="63"/>
      <c r="AP42" s="63"/>
      <c r="AQ42" s="63"/>
    </row>
  </sheetData>
  <mergeCells count="28">
    <mergeCell ref="AL5:AM5"/>
    <mergeCell ref="AB4:AC4"/>
    <mergeCell ref="I4:L4"/>
    <mergeCell ref="M4:O4"/>
    <mergeCell ref="P4:Q5"/>
    <mergeCell ref="R4:S5"/>
    <mergeCell ref="AD5:AE5"/>
    <mergeCell ref="AL3:AQ4"/>
    <mergeCell ref="AD3:AF3"/>
    <mergeCell ref="AD4:AF4"/>
    <mergeCell ref="AI3:AK3"/>
    <mergeCell ref="AI4:AK4"/>
    <mergeCell ref="AR3:AR6"/>
    <mergeCell ref="B4:B6"/>
    <mergeCell ref="C4:C6"/>
    <mergeCell ref="D4:G4"/>
    <mergeCell ref="I5:J5"/>
    <mergeCell ref="K5:L5"/>
    <mergeCell ref="M5:N5"/>
    <mergeCell ref="AG5:AH5"/>
    <mergeCell ref="AN5:AO5"/>
    <mergeCell ref="AP5:AQ5"/>
    <mergeCell ref="T4:V4"/>
    <mergeCell ref="W4:Y4"/>
    <mergeCell ref="Z4:AA4"/>
    <mergeCell ref="AG3:AH3"/>
    <mergeCell ref="AG4:AH4"/>
    <mergeCell ref="B3:AC3"/>
  </mergeCells>
  <pageMargins left="0" right="0" top="0.35433070866141736" bottom="0" header="0.31496062992125984" footer="0.31496062992125984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BA45"/>
  <sheetViews>
    <sheetView showGridLines="0" zoomScale="70" zoomScaleNormal="70" workbookViewId="0">
      <pane xSplit="3" ySplit="6" topLeftCell="K19" activePane="bottomRight" state="frozen"/>
      <selection pane="topRight" activeCell="B41" sqref="B41:E42"/>
      <selection pane="bottomLeft" activeCell="B41" sqref="B41:E42"/>
      <selection pane="bottomRight" activeCell="B41" sqref="B41:E42"/>
    </sheetView>
  </sheetViews>
  <sheetFormatPr defaultColWidth="9.109375" defaultRowHeight="13.8" x14ac:dyDescent="0.25"/>
  <cols>
    <col min="1" max="1" width="4.5546875" style="1" customWidth="1"/>
    <col min="2" max="2" width="22.5546875" style="2" customWidth="1"/>
    <col min="3" max="3" width="10.44140625" style="2" bestFit="1" customWidth="1"/>
    <col min="4" max="5" width="10.44140625" style="2" customWidth="1"/>
    <col min="6" max="6" width="10" style="2" customWidth="1"/>
    <col min="7" max="7" width="11" style="2" customWidth="1"/>
    <col min="8" max="8" width="11.44140625" style="2" customWidth="1"/>
    <col min="9" max="9" width="12.44140625" style="1" customWidth="1"/>
    <col min="10" max="10" width="13" style="1" customWidth="1"/>
    <col min="11" max="11" width="12.44140625" style="1" customWidth="1"/>
    <col min="12" max="12" width="13" style="1" customWidth="1"/>
    <col min="13" max="13" width="10.88671875" style="1" bestFit="1" customWidth="1"/>
    <col min="14" max="14" width="10.88671875" style="1" customWidth="1"/>
    <col min="15" max="17" width="11.44140625" style="1" customWidth="1"/>
    <col min="18" max="18" width="11.5546875" style="1" customWidth="1"/>
    <col min="19" max="19" width="11.88671875" style="1" customWidth="1"/>
    <col min="20" max="20" width="12.44140625" style="3" customWidth="1"/>
    <col min="21" max="21" width="11.109375" style="3" customWidth="1"/>
    <col min="22" max="22" width="12.44140625" style="3" bestFit="1" customWidth="1"/>
    <col min="23" max="25" width="12.44140625" style="3" customWidth="1"/>
    <col min="26" max="26" width="11.5546875" style="3" customWidth="1"/>
    <col min="27" max="27" width="11.109375" style="3" customWidth="1"/>
    <col min="28" max="28" width="11" style="3" customWidth="1"/>
    <col min="29" max="29" width="11.44140625" style="3" customWidth="1"/>
    <col min="30" max="30" width="13.5546875" style="234" customWidth="1"/>
    <col min="31" max="31" width="13.5546875" style="1" customWidth="1"/>
    <col min="32" max="32" width="11.5546875" style="2" customWidth="1"/>
    <col min="33" max="37" width="13" style="1" customWidth="1"/>
    <col min="38" max="38" width="13" style="2" customWidth="1"/>
    <col min="39" max="39" width="11.5546875" style="2" customWidth="1"/>
    <col min="40" max="40" width="12.88671875" style="2" customWidth="1"/>
    <col min="41" max="43" width="12.88671875" style="1" customWidth="1"/>
    <col min="44" max="45" width="11.44140625" style="1" customWidth="1"/>
    <col min="46" max="46" width="11.5546875" style="1" customWidth="1"/>
    <col min="47" max="47" width="11.88671875" style="1" customWidth="1"/>
    <col min="48" max="48" width="14.109375" style="1" customWidth="1"/>
    <col min="49" max="49" width="45.109375" style="1" customWidth="1"/>
    <col min="50" max="50" width="9.109375" style="1"/>
    <col min="51" max="51" width="10.88671875" style="1" bestFit="1" customWidth="1"/>
    <col min="52" max="52" width="12.88671875" style="1" bestFit="1" customWidth="1"/>
    <col min="53" max="16384" width="9.109375" style="1"/>
  </cols>
  <sheetData>
    <row r="2" spans="2:53" x14ac:dyDescent="0.25">
      <c r="B2" s="4" t="s">
        <v>0</v>
      </c>
    </row>
    <row r="3" spans="2:53" ht="28.5" customHeight="1" x14ac:dyDescent="0.25">
      <c r="B3" s="479" t="s">
        <v>1</v>
      </c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  <c r="AA3" s="480"/>
      <c r="AB3" s="480"/>
      <c r="AC3" s="481"/>
      <c r="AD3" s="490" t="s">
        <v>2</v>
      </c>
      <c r="AE3" s="491"/>
      <c r="AF3" s="492"/>
      <c r="AG3" s="485" t="s">
        <v>3</v>
      </c>
      <c r="AH3" s="486"/>
      <c r="AI3" s="494" t="s">
        <v>55</v>
      </c>
      <c r="AJ3" s="495"/>
      <c r="AK3" s="496"/>
      <c r="AL3" s="465" t="s">
        <v>4</v>
      </c>
      <c r="AM3" s="473"/>
      <c r="AN3" s="473"/>
      <c r="AO3" s="473"/>
      <c r="AP3" s="473"/>
      <c r="AQ3" s="473"/>
      <c r="AR3" s="473"/>
      <c r="AS3" s="473"/>
      <c r="AT3" s="473"/>
      <c r="AU3" s="473"/>
      <c r="AV3" s="466"/>
      <c r="AW3" s="457" t="s">
        <v>5</v>
      </c>
    </row>
    <row r="4" spans="2:53" ht="16.5" customHeight="1" x14ac:dyDescent="0.25">
      <c r="B4" s="460" t="s">
        <v>6</v>
      </c>
      <c r="C4" s="460" t="s">
        <v>7</v>
      </c>
      <c r="D4" s="461" t="s">
        <v>8</v>
      </c>
      <c r="E4" s="462"/>
      <c r="F4" s="462"/>
      <c r="G4" s="463"/>
      <c r="H4" s="54" t="s">
        <v>9</v>
      </c>
      <c r="I4" s="464"/>
      <c r="J4" s="464"/>
      <c r="K4" s="464"/>
      <c r="L4" s="464"/>
      <c r="M4" s="464" t="s">
        <v>11</v>
      </c>
      <c r="N4" s="464"/>
      <c r="O4" s="464"/>
      <c r="P4" s="465" t="s">
        <v>56</v>
      </c>
      <c r="Q4" s="466"/>
      <c r="R4" s="465" t="s">
        <v>67</v>
      </c>
      <c r="S4" s="466"/>
      <c r="T4" s="469">
        <v>0</v>
      </c>
      <c r="U4" s="470"/>
      <c r="V4" s="471"/>
      <c r="W4" s="482" t="s">
        <v>14</v>
      </c>
      <c r="X4" s="483"/>
      <c r="Y4" s="484"/>
      <c r="Z4" s="461" t="s">
        <v>15</v>
      </c>
      <c r="AA4" s="463"/>
      <c r="AB4" s="461" t="s">
        <v>16</v>
      </c>
      <c r="AC4" s="463"/>
      <c r="AD4" s="487" t="s">
        <v>17</v>
      </c>
      <c r="AE4" s="488"/>
      <c r="AF4" s="489"/>
      <c r="AG4" s="477" t="s">
        <v>17</v>
      </c>
      <c r="AH4" s="478"/>
      <c r="AI4" s="487" t="s">
        <v>17</v>
      </c>
      <c r="AJ4" s="488"/>
      <c r="AK4" s="489"/>
      <c r="AL4" s="467"/>
      <c r="AM4" s="474"/>
      <c r="AN4" s="474"/>
      <c r="AO4" s="474"/>
      <c r="AP4" s="474"/>
      <c r="AQ4" s="474"/>
      <c r="AR4" s="474"/>
      <c r="AS4" s="474"/>
      <c r="AT4" s="474"/>
      <c r="AU4" s="474"/>
      <c r="AV4" s="468"/>
      <c r="AW4" s="458"/>
    </row>
    <row r="5" spans="2:53" ht="52.5" customHeight="1" x14ac:dyDescent="0.25">
      <c r="B5" s="460"/>
      <c r="C5" s="460"/>
      <c r="D5" s="41" t="s">
        <v>18</v>
      </c>
      <c r="E5" s="41" t="s">
        <v>19</v>
      </c>
      <c r="F5" s="41" t="s">
        <v>20</v>
      </c>
      <c r="G5" s="41" t="s">
        <v>21</v>
      </c>
      <c r="H5" s="43" t="s">
        <v>22</v>
      </c>
      <c r="I5" s="477" t="s">
        <v>68</v>
      </c>
      <c r="J5" s="493"/>
      <c r="K5" s="472" t="s">
        <v>52</v>
      </c>
      <c r="L5" s="472"/>
      <c r="M5" s="460" t="s">
        <v>25</v>
      </c>
      <c r="N5" s="460"/>
      <c r="O5" s="43" t="s">
        <v>26</v>
      </c>
      <c r="P5" s="467"/>
      <c r="Q5" s="468"/>
      <c r="R5" s="467"/>
      <c r="S5" s="468"/>
      <c r="T5" s="82" t="s">
        <v>27</v>
      </c>
      <c r="U5" s="82" t="s">
        <v>24</v>
      </c>
      <c r="V5" s="82" t="s">
        <v>21</v>
      </c>
      <c r="W5" s="34" t="s">
        <v>27</v>
      </c>
      <c r="X5" s="34" t="s">
        <v>24</v>
      </c>
      <c r="Y5" s="36" t="s">
        <v>21</v>
      </c>
      <c r="Z5" s="82" t="s">
        <v>27</v>
      </c>
      <c r="AA5" s="82" t="s">
        <v>24</v>
      </c>
      <c r="AB5" s="82" t="s">
        <v>27</v>
      </c>
      <c r="AC5" s="82" t="s">
        <v>24</v>
      </c>
      <c r="AD5" s="472" t="s">
        <v>28</v>
      </c>
      <c r="AE5" s="472"/>
      <c r="AF5" s="45" t="s">
        <v>29</v>
      </c>
      <c r="AG5" s="477" t="s">
        <v>28</v>
      </c>
      <c r="AH5" s="493"/>
      <c r="AI5" s="253" t="s">
        <v>58</v>
      </c>
      <c r="AJ5" s="254" t="s">
        <v>59</v>
      </c>
      <c r="AK5" s="253" t="s">
        <v>60</v>
      </c>
      <c r="AL5" s="475" t="s">
        <v>30</v>
      </c>
      <c r="AM5" s="476"/>
      <c r="AN5" s="475" t="s">
        <v>31</v>
      </c>
      <c r="AO5" s="476"/>
      <c r="AP5" s="477" t="s">
        <v>32</v>
      </c>
      <c r="AQ5" s="478"/>
      <c r="AR5" s="477" t="s">
        <v>56</v>
      </c>
      <c r="AS5" s="493"/>
      <c r="AT5" s="477" t="s">
        <v>67</v>
      </c>
      <c r="AU5" s="493"/>
      <c r="AV5" s="226" t="s">
        <v>69</v>
      </c>
      <c r="AW5" s="458"/>
    </row>
    <row r="6" spans="2:53" ht="14.4" x14ac:dyDescent="0.3">
      <c r="B6" s="460"/>
      <c r="C6" s="460"/>
      <c r="D6" s="83">
        <v>8350</v>
      </c>
      <c r="E6" s="83">
        <v>8350</v>
      </c>
      <c r="F6" s="83">
        <v>8350</v>
      </c>
      <c r="G6" s="83">
        <f>D6+E6+F6</f>
        <v>25050</v>
      </c>
      <c r="H6" s="56" t="s">
        <v>33</v>
      </c>
      <c r="I6" s="124" t="s">
        <v>53</v>
      </c>
      <c r="J6" s="17" t="s">
        <v>34</v>
      </c>
      <c r="K6" s="124" t="s">
        <v>53</v>
      </c>
      <c r="L6" s="17" t="s">
        <v>35</v>
      </c>
      <c r="M6" s="40" t="s">
        <v>36</v>
      </c>
      <c r="N6" s="40" t="s">
        <v>37</v>
      </c>
      <c r="O6" s="41" t="s">
        <v>38</v>
      </c>
      <c r="P6" s="17" t="s">
        <v>34</v>
      </c>
      <c r="Q6" s="17" t="s">
        <v>35</v>
      </c>
      <c r="R6" s="17" t="s">
        <v>34</v>
      </c>
      <c r="S6" s="17" t="s">
        <v>35</v>
      </c>
      <c r="T6" s="82" t="s">
        <v>39</v>
      </c>
      <c r="U6" s="82" t="s">
        <v>39</v>
      </c>
      <c r="V6" s="82" t="s">
        <v>39</v>
      </c>
      <c r="W6" s="82"/>
      <c r="X6" s="82"/>
      <c r="Y6" s="82"/>
      <c r="Z6" s="41" t="s">
        <v>40</v>
      </c>
      <c r="AA6" s="41" t="s">
        <v>40</v>
      </c>
      <c r="AB6" s="41" t="s">
        <v>40</v>
      </c>
      <c r="AC6" s="41" t="s">
        <v>40</v>
      </c>
      <c r="AD6" s="235" t="s">
        <v>41</v>
      </c>
      <c r="AE6" s="78" t="s">
        <v>42</v>
      </c>
      <c r="AF6" s="9" t="s">
        <v>43</v>
      </c>
      <c r="AG6" s="17" t="s">
        <v>41</v>
      </c>
      <c r="AH6" s="78" t="s">
        <v>42</v>
      </c>
      <c r="AI6" s="78"/>
      <c r="AJ6" s="78"/>
      <c r="AK6" s="78"/>
      <c r="AL6" s="9" t="s">
        <v>34</v>
      </c>
      <c r="AM6" s="9" t="s">
        <v>44</v>
      </c>
      <c r="AN6" s="9" t="s">
        <v>34</v>
      </c>
      <c r="AO6" s="9" t="s">
        <v>44</v>
      </c>
      <c r="AP6" s="9" t="s">
        <v>34</v>
      </c>
      <c r="AQ6" s="9" t="s">
        <v>44</v>
      </c>
      <c r="AR6" s="17" t="s">
        <v>34</v>
      </c>
      <c r="AS6" s="17" t="s">
        <v>35</v>
      </c>
      <c r="AT6" s="17" t="s">
        <v>34</v>
      </c>
      <c r="AU6" s="17" t="s">
        <v>35</v>
      </c>
      <c r="AV6" s="17" t="s">
        <v>53</v>
      </c>
      <c r="AW6" s="459"/>
    </row>
    <row r="7" spans="2:53" x14ac:dyDescent="0.25">
      <c r="B7" s="8">
        <v>44805</v>
      </c>
      <c r="C7" s="42" t="str">
        <f>TEXT(B7,"ddd")</f>
        <v>Thu</v>
      </c>
      <c r="D7" s="176">
        <v>0.61</v>
      </c>
      <c r="E7" s="176">
        <v>0.56999999999999995</v>
      </c>
      <c r="F7" s="176">
        <v>0.6</v>
      </c>
      <c r="G7" s="143">
        <v>14863</v>
      </c>
      <c r="H7" s="194">
        <v>0.56699999999999995</v>
      </c>
      <c r="I7" s="97"/>
      <c r="J7" s="23"/>
      <c r="K7" s="196">
        <v>1937749</v>
      </c>
      <c r="L7" s="127">
        <v>23172</v>
      </c>
      <c r="M7" s="21"/>
      <c r="N7" s="22"/>
      <c r="O7" s="21"/>
      <c r="P7" s="22">
        <v>3887</v>
      </c>
      <c r="Q7" s="261">
        <v>556</v>
      </c>
      <c r="R7" s="22">
        <v>79126</v>
      </c>
      <c r="S7" s="21"/>
      <c r="T7" s="109">
        <v>0</v>
      </c>
      <c r="U7" s="109">
        <v>0</v>
      </c>
      <c r="V7" s="105">
        <f>SUM(T7:U7)</f>
        <v>0</v>
      </c>
      <c r="W7" s="109">
        <v>0</v>
      </c>
      <c r="X7" s="51">
        <v>23172</v>
      </c>
      <c r="Y7" s="49">
        <f t="shared" ref="Y7:Y37" si="0">SUM(W7:X7)</f>
        <v>23172</v>
      </c>
      <c r="Z7" s="44">
        <v>0</v>
      </c>
      <c r="AA7" s="44">
        <v>0</v>
      </c>
      <c r="AB7" s="109">
        <v>0</v>
      </c>
      <c r="AC7" s="106">
        <v>22.710000000000036</v>
      </c>
      <c r="AD7" s="242">
        <v>249.28</v>
      </c>
      <c r="AE7" s="243">
        <f>AD7</f>
        <v>249.28</v>
      </c>
      <c r="AF7" s="229">
        <v>14.39</v>
      </c>
      <c r="AG7" s="7">
        <v>227.01</v>
      </c>
      <c r="AH7" s="7">
        <f>AG7</f>
        <v>227.01</v>
      </c>
      <c r="AI7" s="255">
        <v>227.01</v>
      </c>
      <c r="AJ7" s="255">
        <v>9.8759999999999994</v>
      </c>
      <c r="AK7" s="255">
        <v>236.886</v>
      </c>
      <c r="AL7" s="207">
        <v>296214</v>
      </c>
      <c r="AM7" s="90">
        <v>2876</v>
      </c>
      <c r="AN7" s="220">
        <v>34017</v>
      </c>
      <c r="AO7" s="90">
        <f>AN7-'Aug2022'!AN37</f>
        <v>156</v>
      </c>
      <c r="AP7" s="90"/>
      <c r="AQ7" s="90"/>
      <c r="AR7" s="76">
        <v>3887</v>
      </c>
      <c r="AS7" s="261">
        <v>556</v>
      </c>
      <c r="AT7" s="76">
        <v>79126</v>
      </c>
      <c r="AU7" s="227"/>
      <c r="AV7" s="49">
        <f>AS7+AU7</f>
        <v>556</v>
      </c>
      <c r="AW7" s="17">
        <v>2</v>
      </c>
      <c r="AY7" s="79"/>
      <c r="AZ7" s="74"/>
      <c r="BA7" s="74"/>
    </row>
    <row r="8" spans="2:53" x14ac:dyDescent="0.25">
      <c r="B8" s="8">
        <f>B7+1</f>
        <v>44806</v>
      </c>
      <c r="C8" s="42" t="str">
        <f t="shared" ref="C8:C36" si="1">TEXT(B8,"ddd")</f>
        <v>Fri</v>
      </c>
      <c r="D8" s="176">
        <v>0.17</v>
      </c>
      <c r="E8" s="176">
        <v>0.18</v>
      </c>
      <c r="F8" s="176">
        <v>0.22</v>
      </c>
      <c r="G8" s="143">
        <v>4759.5</v>
      </c>
      <c r="H8" s="194">
        <v>0.55900000000000005</v>
      </c>
      <c r="I8" s="97"/>
      <c r="J8" s="26"/>
      <c r="K8" s="197">
        <v>1967915</v>
      </c>
      <c r="L8" s="127">
        <v>30166</v>
      </c>
      <c r="M8" s="21"/>
      <c r="N8" s="22"/>
      <c r="O8" s="21">
        <v>0</v>
      </c>
      <c r="P8" s="22">
        <v>3887</v>
      </c>
      <c r="Q8" s="21">
        <f>P8-P7</f>
        <v>0</v>
      </c>
      <c r="R8" s="22">
        <v>79126</v>
      </c>
      <c r="S8" s="21">
        <f>R8-R7</f>
        <v>0</v>
      </c>
      <c r="T8" s="109">
        <v>0</v>
      </c>
      <c r="U8" s="109">
        <v>0</v>
      </c>
      <c r="V8" s="105">
        <f>SUM(T8:U8)</f>
        <v>0</v>
      </c>
      <c r="W8" s="109">
        <v>0</v>
      </c>
      <c r="X8" s="51">
        <v>30166</v>
      </c>
      <c r="Y8" s="49">
        <f t="shared" si="0"/>
        <v>30166</v>
      </c>
      <c r="Z8" s="44">
        <v>0</v>
      </c>
      <c r="AA8" s="44">
        <v>0</v>
      </c>
      <c r="AB8" s="109">
        <v>0</v>
      </c>
      <c r="AC8" s="106">
        <v>24.070000000000164</v>
      </c>
      <c r="AD8" s="244">
        <v>215.98</v>
      </c>
      <c r="AE8" s="243">
        <f>AD8+AE7</f>
        <v>465.26</v>
      </c>
      <c r="AF8" s="230">
        <v>15.54</v>
      </c>
      <c r="AG8" s="7">
        <v>216.16</v>
      </c>
      <c r="AH8" s="7">
        <f>AG8+AH7</f>
        <v>443.16999999999996</v>
      </c>
      <c r="AI8" s="255">
        <v>216.16</v>
      </c>
      <c r="AJ8" s="255"/>
      <c r="AK8" s="255">
        <v>216.16</v>
      </c>
      <c r="AL8" s="207">
        <v>298964</v>
      </c>
      <c r="AM8" s="90">
        <f>AL8-AL7</f>
        <v>2750</v>
      </c>
      <c r="AN8" s="221">
        <v>34223</v>
      </c>
      <c r="AO8" s="76">
        <f t="shared" ref="AO8:AO36" si="2">AN8-AN7</f>
        <v>206</v>
      </c>
      <c r="AP8" s="90"/>
      <c r="AQ8" s="90"/>
      <c r="AR8" s="76">
        <v>3887</v>
      </c>
      <c r="AS8" s="227">
        <f>AR8-AR7</f>
        <v>0</v>
      </c>
      <c r="AT8" s="76">
        <v>79126</v>
      </c>
      <c r="AU8" s="227">
        <f>AT8-AT7</f>
        <v>0</v>
      </c>
      <c r="AV8" s="49">
        <f>AS8+AU8</f>
        <v>0</v>
      </c>
      <c r="AW8" s="17">
        <v>2</v>
      </c>
      <c r="AY8" s="79"/>
      <c r="AZ8" s="74"/>
      <c r="BA8" s="74"/>
    </row>
    <row r="9" spans="2:53" x14ac:dyDescent="0.25">
      <c r="B9" s="8">
        <f>B8+1</f>
        <v>44807</v>
      </c>
      <c r="C9" s="42" t="str">
        <f t="shared" si="1"/>
        <v>Sat</v>
      </c>
      <c r="D9" s="176">
        <v>0.98</v>
      </c>
      <c r="E9" s="176">
        <v>0.53</v>
      </c>
      <c r="F9" s="176">
        <v>0.73</v>
      </c>
      <c r="G9" s="143">
        <v>18704</v>
      </c>
      <c r="H9" s="194">
        <v>0.55700000000000005</v>
      </c>
      <c r="I9" s="97"/>
      <c r="J9" s="26"/>
      <c r="K9" s="198">
        <v>1976344</v>
      </c>
      <c r="L9" s="127">
        <v>8429</v>
      </c>
      <c r="M9" s="21"/>
      <c r="N9" s="22"/>
      <c r="O9" s="21">
        <v>0</v>
      </c>
      <c r="P9" s="22">
        <v>3887</v>
      </c>
      <c r="Q9" s="21">
        <f>P9-P8</f>
        <v>0</v>
      </c>
      <c r="R9" s="22">
        <v>84544</v>
      </c>
      <c r="S9" s="21">
        <f t="shared" ref="S9:S36" si="3">R9-R8</f>
        <v>5418</v>
      </c>
      <c r="T9" s="109">
        <v>0</v>
      </c>
      <c r="U9" s="109">
        <v>0</v>
      </c>
      <c r="V9" s="105">
        <f>SUM(T9:U9)</f>
        <v>0</v>
      </c>
      <c r="W9" s="109">
        <v>0</v>
      </c>
      <c r="X9" s="51">
        <v>8429</v>
      </c>
      <c r="Y9" s="49">
        <f t="shared" si="0"/>
        <v>8429</v>
      </c>
      <c r="Z9" s="44">
        <v>0</v>
      </c>
      <c r="AA9" s="44">
        <v>0</v>
      </c>
      <c r="AB9" s="109">
        <v>0</v>
      </c>
      <c r="AC9" s="106">
        <v>12.029999999999973</v>
      </c>
      <c r="AD9" s="244">
        <v>0</v>
      </c>
      <c r="AE9" s="243">
        <f>AD9+AE8</f>
        <v>465.26</v>
      </c>
      <c r="AF9" s="230"/>
      <c r="AG9" s="102">
        <v>0</v>
      </c>
      <c r="AH9" s="7">
        <f>AG9+AH8</f>
        <v>443.16999999999996</v>
      </c>
      <c r="AI9" s="255" t="s">
        <v>65</v>
      </c>
      <c r="AJ9" s="255"/>
      <c r="AK9" s="255">
        <v>0</v>
      </c>
      <c r="AL9" s="207">
        <v>302450</v>
      </c>
      <c r="AM9" s="90">
        <f t="shared" ref="AM9:AM36" si="4">AL9-AL8</f>
        <v>3486</v>
      </c>
      <c r="AN9" s="222">
        <v>34531</v>
      </c>
      <c r="AO9" s="76">
        <f t="shared" si="2"/>
        <v>308</v>
      </c>
      <c r="AP9" s="90"/>
      <c r="AQ9" s="90"/>
      <c r="AR9" s="76">
        <v>3887</v>
      </c>
      <c r="AS9" s="227">
        <f t="shared" ref="AS9:AS36" si="5">AR9-AR8</f>
        <v>0</v>
      </c>
      <c r="AT9" s="76">
        <v>84544</v>
      </c>
      <c r="AU9" s="227">
        <f t="shared" ref="AU9:AU36" si="6">AT9-AT8</f>
        <v>5418</v>
      </c>
      <c r="AV9" s="49">
        <f>AS9+AU9</f>
        <v>5418</v>
      </c>
      <c r="AW9" s="17" t="s">
        <v>66</v>
      </c>
      <c r="AY9" s="79"/>
      <c r="AZ9" s="74"/>
      <c r="BA9" s="74"/>
    </row>
    <row r="10" spans="2:53" x14ac:dyDescent="0.25">
      <c r="B10" s="8">
        <f t="shared" ref="B10:B36" si="7">B9+1</f>
        <v>44808</v>
      </c>
      <c r="C10" s="42" t="str">
        <f t="shared" si="1"/>
        <v>Sun</v>
      </c>
      <c r="D10" s="177">
        <v>0.82</v>
      </c>
      <c r="E10" s="177">
        <v>0.91</v>
      </c>
      <c r="F10" s="177">
        <v>0.82</v>
      </c>
      <c r="G10" s="143">
        <v>21292.5</v>
      </c>
      <c r="H10" s="151">
        <v>0.55700000000000005</v>
      </c>
      <c r="I10" s="97"/>
      <c r="J10" s="26"/>
      <c r="K10" s="195">
        <v>1977204</v>
      </c>
      <c r="L10" s="127">
        <v>860</v>
      </c>
      <c r="M10" s="21"/>
      <c r="N10" s="22"/>
      <c r="O10" s="21">
        <v>0</v>
      </c>
      <c r="P10" s="22">
        <v>15680</v>
      </c>
      <c r="Q10" s="21">
        <f t="shared" ref="Q10:Q36" si="8">P10-P9</f>
        <v>11793</v>
      </c>
      <c r="R10" s="22">
        <v>84566</v>
      </c>
      <c r="S10" s="21">
        <f t="shared" si="3"/>
        <v>22</v>
      </c>
      <c r="T10" s="109">
        <v>0</v>
      </c>
      <c r="U10" s="109">
        <v>0</v>
      </c>
      <c r="V10" s="105">
        <f>SUM(T10:U10)</f>
        <v>0</v>
      </c>
      <c r="W10" s="109">
        <v>0</v>
      </c>
      <c r="X10" s="51">
        <v>0</v>
      </c>
      <c r="Y10" s="49">
        <f t="shared" si="0"/>
        <v>0</v>
      </c>
      <c r="Z10" s="44">
        <v>0</v>
      </c>
      <c r="AA10" s="44">
        <v>0</v>
      </c>
      <c r="AB10" s="109">
        <v>0</v>
      </c>
      <c r="AC10" s="106">
        <v>0</v>
      </c>
      <c r="AD10" s="244">
        <v>0</v>
      </c>
      <c r="AE10" s="243">
        <f>AD10+AE9</f>
        <v>465.26</v>
      </c>
      <c r="AF10" s="230"/>
      <c r="AG10" s="102">
        <v>0</v>
      </c>
      <c r="AH10" s="7">
        <f>AG10+AH9</f>
        <v>443.16999999999996</v>
      </c>
      <c r="AI10" s="255" t="s">
        <v>65</v>
      </c>
      <c r="AJ10" s="255"/>
      <c r="AK10" s="255">
        <v>0</v>
      </c>
      <c r="AL10" s="207">
        <v>305165</v>
      </c>
      <c r="AM10" s="90">
        <f t="shared" si="4"/>
        <v>2715</v>
      </c>
      <c r="AN10" s="222">
        <v>34981</v>
      </c>
      <c r="AO10" s="76">
        <f t="shared" si="2"/>
        <v>450</v>
      </c>
      <c r="AP10" s="90"/>
      <c r="AQ10" s="90"/>
      <c r="AR10" s="76">
        <v>15680</v>
      </c>
      <c r="AS10" s="227">
        <f t="shared" si="5"/>
        <v>11793</v>
      </c>
      <c r="AT10" s="76">
        <v>84566</v>
      </c>
      <c r="AU10" s="227">
        <f t="shared" si="6"/>
        <v>22</v>
      </c>
      <c r="AV10" s="49">
        <f t="shared" ref="AV10:AV17" si="9">AS10+AU10</f>
        <v>11815</v>
      </c>
      <c r="AW10" s="17" t="s">
        <v>66</v>
      </c>
      <c r="AY10" s="79"/>
      <c r="AZ10" s="74"/>
      <c r="BA10" s="74"/>
    </row>
    <row r="11" spans="2:53" x14ac:dyDescent="0.25">
      <c r="B11" s="8">
        <f t="shared" si="7"/>
        <v>44809</v>
      </c>
      <c r="C11" s="42" t="str">
        <f t="shared" si="1"/>
        <v>Mon</v>
      </c>
      <c r="D11" s="178">
        <v>0.6</v>
      </c>
      <c r="E11" s="178">
        <v>0.6</v>
      </c>
      <c r="F11" s="178">
        <v>0.62</v>
      </c>
      <c r="G11" s="143">
        <v>15197</v>
      </c>
      <c r="H11" s="167">
        <v>0.55800000000000005</v>
      </c>
      <c r="I11" s="97"/>
      <c r="J11" s="26"/>
      <c r="K11" s="195">
        <v>1979519</v>
      </c>
      <c r="L11" s="127">
        <v>2315</v>
      </c>
      <c r="M11" s="21"/>
      <c r="N11" s="22"/>
      <c r="O11" s="21">
        <v>0</v>
      </c>
      <c r="P11" s="22">
        <v>43322</v>
      </c>
      <c r="Q11" s="21">
        <f t="shared" si="8"/>
        <v>27642</v>
      </c>
      <c r="R11" s="22">
        <v>84566</v>
      </c>
      <c r="S11" s="21">
        <f t="shared" si="3"/>
        <v>0</v>
      </c>
      <c r="T11" s="109">
        <v>0</v>
      </c>
      <c r="U11" s="109">
        <v>0</v>
      </c>
      <c r="V11" s="105">
        <f t="shared" ref="V11:V16" si="10">SUM(T11:U11)</f>
        <v>0</v>
      </c>
      <c r="W11" s="109">
        <v>0</v>
      </c>
      <c r="X11" s="51">
        <v>0</v>
      </c>
      <c r="Y11" s="49">
        <f t="shared" si="0"/>
        <v>0</v>
      </c>
      <c r="Z11" s="44">
        <v>0</v>
      </c>
      <c r="AA11" s="44">
        <v>0</v>
      </c>
      <c r="AB11" s="109">
        <v>0</v>
      </c>
      <c r="AC11" s="106">
        <v>0</v>
      </c>
      <c r="AD11" s="245">
        <v>0</v>
      </c>
      <c r="AE11" s="243">
        <f t="shared" ref="AE11:AE36" si="11">AD11+AE10</f>
        <v>465.26</v>
      </c>
      <c r="AF11" s="230"/>
      <c r="AG11" s="102">
        <v>0</v>
      </c>
      <c r="AH11" s="7">
        <f t="shared" ref="AH11:AH36" si="12">AG11+AH10</f>
        <v>443.16999999999996</v>
      </c>
      <c r="AI11" s="255" t="s">
        <v>65</v>
      </c>
      <c r="AJ11" s="255"/>
      <c r="AK11" s="255">
        <v>0</v>
      </c>
      <c r="AL11" s="207">
        <v>308041</v>
      </c>
      <c r="AM11" s="90">
        <f t="shared" si="4"/>
        <v>2876</v>
      </c>
      <c r="AN11" s="222">
        <v>35465</v>
      </c>
      <c r="AO11" s="76">
        <f t="shared" si="2"/>
        <v>484</v>
      </c>
      <c r="AP11" s="90"/>
      <c r="AQ11" s="90"/>
      <c r="AR11" s="76">
        <v>43322</v>
      </c>
      <c r="AS11" s="227">
        <f t="shared" si="5"/>
        <v>27642</v>
      </c>
      <c r="AT11" s="76">
        <v>84566</v>
      </c>
      <c r="AU11" s="227">
        <f t="shared" si="6"/>
        <v>0</v>
      </c>
      <c r="AV11" s="49">
        <f t="shared" si="9"/>
        <v>27642</v>
      </c>
      <c r="AW11" s="17" t="s">
        <v>66</v>
      </c>
      <c r="AY11" s="79"/>
      <c r="AZ11" s="74"/>
      <c r="BA11" s="74"/>
    </row>
    <row r="12" spans="2:53" x14ac:dyDescent="0.25">
      <c r="B12" s="8">
        <f t="shared" si="7"/>
        <v>44810</v>
      </c>
      <c r="C12" s="42" t="str">
        <f t="shared" si="1"/>
        <v>Tue</v>
      </c>
      <c r="D12" s="141">
        <v>0.63</v>
      </c>
      <c r="E12" s="142">
        <v>0.52</v>
      </c>
      <c r="F12" s="142">
        <v>0.81</v>
      </c>
      <c r="G12" s="143">
        <v>16366</v>
      </c>
      <c r="H12" s="148">
        <v>0.55700000000000005</v>
      </c>
      <c r="I12" s="97"/>
      <c r="J12" s="26"/>
      <c r="K12" s="195">
        <v>1989896</v>
      </c>
      <c r="L12" s="127">
        <v>10377</v>
      </c>
      <c r="M12" s="21"/>
      <c r="N12" s="22"/>
      <c r="O12" s="21">
        <v>0</v>
      </c>
      <c r="P12" s="22">
        <v>52936</v>
      </c>
      <c r="Q12" s="21">
        <f t="shared" si="8"/>
        <v>9614</v>
      </c>
      <c r="R12" s="22">
        <v>84566</v>
      </c>
      <c r="S12" s="21">
        <f t="shared" si="3"/>
        <v>0</v>
      </c>
      <c r="T12" s="109">
        <v>0</v>
      </c>
      <c r="U12" s="109">
        <v>0</v>
      </c>
      <c r="V12" s="105">
        <f t="shared" si="10"/>
        <v>0</v>
      </c>
      <c r="W12" s="109">
        <v>0</v>
      </c>
      <c r="X12" s="51">
        <v>13552</v>
      </c>
      <c r="Y12" s="49">
        <f t="shared" si="0"/>
        <v>13552</v>
      </c>
      <c r="Z12" s="44">
        <v>0</v>
      </c>
      <c r="AA12" s="44">
        <v>0</v>
      </c>
      <c r="AB12" s="109">
        <v>0</v>
      </c>
      <c r="AC12" s="106">
        <v>20.789999999999964</v>
      </c>
      <c r="AD12" s="245">
        <v>0</v>
      </c>
      <c r="AE12" s="243">
        <f t="shared" si="11"/>
        <v>465.26</v>
      </c>
      <c r="AF12" s="231"/>
      <c r="AG12" s="102">
        <v>0</v>
      </c>
      <c r="AH12" s="7">
        <f t="shared" si="12"/>
        <v>443.16999999999996</v>
      </c>
      <c r="AI12" s="255" t="s">
        <v>65</v>
      </c>
      <c r="AJ12" s="255"/>
      <c r="AK12" s="255">
        <v>0</v>
      </c>
      <c r="AL12" s="207">
        <v>310830</v>
      </c>
      <c r="AM12" s="90">
        <f t="shared" si="4"/>
        <v>2789</v>
      </c>
      <c r="AN12" s="222">
        <v>35885</v>
      </c>
      <c r="AO12" s="76">
        <f t="shared" si="2"/>
        <v>420</v>
      </c>
      <c r="AP12" s="90"/>
      <c r="AQ12" s="90"/>
      <c r="AR12" s="76">
        <v>52936</v>
      </c>
      <c r="AS12" s="227">
        <f t="shared" si="5"/>
        <v>9614</v>
      </c>
      <c r="AT12" s="76">
        <v>84566</v>
      </c>
      <c r="AU12" s="227">
        <f t="shared" si="6"/>
        <v>0</v>
      </c>
      <c r="AV12" s="49">
        <f t="shared" si="9"/>
        <v>9614</v>
      </c>
      <c r="AW12" s="17" t="s">
        <v>66</v>
      </c>
      <c r="AY12" s="79"/>
      <c r="AZ12" s="74"/>
      <c r="BA12" s="74"/>
    </row>
    <row r="13" spans="2:53" x14ac:dyDescent="0.25">
      <c r="B13" s="8">
        <f t="shared" si="7"/>
        <v>44811</v>
      </c>
      <c r="C13" s="42" t="str">
        <f t="shared" si="1"/>
        <v>Wed</v>
      </c>
      <c r="D13" s="141">
        <v>0.64</v>
      </c>
      <c r="E13" s="142">
        <v>0.56999999999999995</v>
      </c>
      <c r="F13" s="142">
        <v>0.57999999999999996</v>
      </c>
      <c r="G13" s="143">
        <v>14946.5</v>
      </c>
      <c r="H13" s="148">
        <v>0.56399999999999995</v>
      </c>
      <c r="I13" s="97"/>
      <c r="J13" s="26"/>
      <c r="K13" s="195">
        <v>2005342</v>
      </c>
      <c r="L13" s="127">
        <v>15446</v>
      </c>
      <c r="M13" s="21"/>
      <c r="N13" s="22"/>
      <c r="O13" s="21">
        <v>0</v>
      </c>
      <c r="P13" s="22">
        <v>52936</v>
      </c>
      <c r="Q13" s="21">
        <f t="shared" si="8"/>
        <v>0</v>
      </c>
      <c r="R13" s="22">
        <v>84566</v>
      </c>
      <c r="S13" s="21">
        <f t="shared" si="3"/>
        <v>0</v>
      </c>
      <c r="T13" s="109">
        <v>0</v>
      </c>
      <c r="U13" s="109">
        <v>0</v>
      </c>
      <c r="V13" s="105">
        <f t="shared" si="10"/>
        <v>0</v>
      </c>
      <c r="W13" s="109">
        <v>0</v>
      </c>
      <c r="X13" s="51">
        <v>15446</v>
      </c>
      <c r="Y13" s="49">
        <f t="shared" si="0"/>
        <v>15446</v>
      </c>
      <c r="Z13" s="44">
        <v>0</v>
      </c>
      <c r="AA13" s="44">
        <v>0</v>
      </c>
      <c r="AB13" s="109">
        <v>0</v>
      </c>
      <c r="AC13" s="106">
        <v>22.329999999999927</v>
      </c>
      <c r="AD13" s="245">
        <v>242.21</v>
      </c>
      <c r="AE13" s="243">
        <f t="shared" si="11"/>
        <v>707.47</v>
      </c>
      <c r="AF13" s="232">
        <v>15.89</v>
      </c>
      <c r="AG13" s="7">
        <v>242.21</v>
      </c>
      <c r="AH13" s="7">
        <f t="shared" si="12"/>
        <v>685.38</v>
      </c>
      <c r="AI13" s="255">
        <v>242.21</v>
      </c>
      <c r="AJ13" s="255"/>
      <c r="AK13" s="255">
        <v>242.21</v>
      </c>
      <c r="AL13" s="207">
        <v>313530</v>
      </c>
      <c r="AM13" s="90">
        <f t="shared" si="4"/>
        <v>2700</v>
      </c>
      <c r="AN13" s="222">
        <v>36565</v>
      </c>
      <c r="AO13" s="76">
        <f t="shared" si="2"/>
        <v>680</v>
      </c>
      <c r="AP13" s="90"/>
      <c r="AQ13" s="90"/>
      <c r="AR13" s="76">
        <v>52936</v>
      </c>
      <c r="AS13" s="227">
        <f t="shared" si="5"/>
        <v>0</v>
      </c>
      <c r="AT13" s="76">
        <v>84566</v>
      </c>
      <c r="AU13" s="227">
        <f t="shared" si="6"/>
        <v>0</v>
      </c>
      <c r="AV13" s="49">
        <f t="shared" si="9"/>
        <v>0</v>
      </c>
      <c r="AW13" s="17">
        <v>2</v>
      </c>
      <c r="AY13" s="79"/>
      <c r="AZ13" s="74"/>
      <c r="BA13" s="74"/>
    </row>
    <row r="14" spans="2:53" x14ac:dyDescent="0.25">
      <c r="B14" s="8">
        <f t="shared" si="7"/>
        <v>44812</v>
      </c>
      <c r="C14" s="42" t="str">
        <f t="shared" si="1"/>
        <v>Thu</v>
      </c>
      <c r="D14" s="141">
        <v>0.74</v>
      </c>
      <c r="E14" s="142">
        <v>0.74</v>
      </c>
      <c r="F14" s="142">
        <v>0.6</v>
      </c>
      <c r="G14" s="143">
        <v>17368</v>
      </c>
      <c r="H14" s="144">
        <v>0.56799999999999995</v>
      </c>
      <c r="I14" s="97"/>
      <c r="J14" s="26"/>
      <c r="K14" s="195">
        <v>2021783</v>
      </c>
      <c r="L14" s="127">
        <v>16441</v>
      </c>
      <c r="M14" s="21"/>
      <c r="N14" s="22"/>
      <c r="O14" s="21">
        <v>0</v>
      </c>
      <c r="P14" s="22">
        <v>52936</v>
      </c>
      <c r="Q14" s="21">
        <f t="shared" si="8"/>
        <v>0</v>
      </c>
      <c r="R14" s="22">
        <v>84566</v>
      </c>
      <c r="S14" s="21">
        <f t="shared" si="3"/>
        <v>0</v>
      </c>
      <c r="T14" s="109">
        <v>0</v>
      </c>
      <c r="U14" s="109">
        <v>0</v>
      </c>
      <c r="V14" s="105">
        <f t="shared" si="10"/>
        <v>0</v>
      </c>
      <c r="W14" s="109">
        <v>0</v>
      </c>
      <c r="X14" s="51">
        <v>16441</v>
      </c>
      <c r="Y14" s="49">
        <f t="shared" si="0"/>
        <v>16441</v>
      </c>
      <c r="Z14" s="44">
        <v>0</v>
      </c>
      <c r="AA14" s="44">
        <v>0</v>
      </c>
      <c r="AB14" s="109">
        <v>0</v>
      </c>
      <c r="AC14" s="106">
        <v>24.960000000000036</v>
      </c>
      <c r="AD14" s="245">
        <v>333.39</v>
      </c>
      <c r="AE14" s="243">
        <f t="shared" si="11"/>
        <v>1040.8600000000001</v>
      </c>
      <c r="AF14" s="233">
        <v>16.239999999999998</v>
      </c>
      <c r="AG14" s="7">
        <v>333.39</v>
      </c>
      <c r="AH14" s="7">
        <f t="shared" si="12"/>
        <v>1018.77</v>
      </c>
      <c r="AI14" s="255">
        <v>333.39</v>
      </c>
      <c r="AJ14" s="255"/>
      <c r="AK14" s="255">
        <v>333.39</v>
      </c>
      <c r="AL14" s="207">
        <v>316558</v>
      </c>
      <c r="AM14" s="90">
        <f t="shared" si="4"/>
        <v>3028</v>
      </c>
      <c r="AN14" s="222">
        <v>37015</v>
      </c>
      <c r="AO14" s="76">
        <f t="shared" si="2"/>
        <v>450</v>
      </c>
      <c r="AP14" s="90"/>
      <c r="AQ14" s="90"/>
      <c r="AR14" s="76">
        <v>52936</v>
      </c>
      <c r="AS14" s="227">
        <f t="shared" si="5"/>
        <v>0</v>
      </c>
      <c r="AT14" s="76">
        <v>84566</v>
      </c>
      <c r="AU14" s="227">
        <f t="shared" si="6"/>
        <v>0</v>
      </c>
      <c r="AV14" s="49">
        <f t="shared" si="9"/>
        <v>0</v>
      </c>
      <c r="AW14" s="17">
        <v>2</v>
      </c>
      <c r="AY14" s="79"/>
      <c r="AZ14" s="74"/>
      <c r="BA14" s="74"/>
    </row>
    <row r="15" spans="2:53" x14ac:dyDescent="0.25">
      <c r="B15" s="8">
        <f t="shared" si="7"/>
        <v>44813</v>
      </c>
      <c r="C15" s="42" t="str">
        <f t="shared" si="1"/>
        <v>Fri</v>
      </c>
      <c r="D15" s="141">
        <v>0.74</v>
      </c>
      <c r="E15" s="142">
        <v>0.62</v>
      </c>
      <c r="F15" s="142">
        <v>0.62</v>
      </c>
      <c r="G15" s="143">
        <v>16533</v>
      </c>
      <c r="H15" s="144">
        <v>0.57199999999999995</v>
      </c>
      <c r="I15" s="97"/>
      <c r="J15" s="25"/>
      <c r="K15" s="198">
        <v>2044054</v>
      </c>
      <c r="L15" s="127">
        <v>22271</v>
      </c>
      <c r="M15" s="21"/>
      <c r="N15" s="22"/>
      <c r="O15" s="21">
        <v>0</v>
      </c>
      <c r="P15" s="22">
        <v>52936</v>
      </c>
      <c r="Q15" s="21">
        <f t="shared" si="8"/>
        <v>0</v>
      </c>
      <c r="R15" s="22">
        <v>84566</v>
      </c>
      <c r="S15" s="21">
        <f t="shared" si="3"/>
        <v>0</v>
      </c>
      <c r="T15" s="109">
        <v>0</v>
      </c>
      <c r="U15" s="109">
        <v>0</v>
      </c>
      <c r="V15" s="105">
        <f t="shared" si="10"/>
        <v>0</v>
      </c>
      <c r="W15" s="109">
        <v>0</v>
      </c>
      <c r="X15" s="51">
        <v>22271</v>
      </c>
      <c r="Y15" s="49">
        <f t="shared" si="0"/>
        <v>22271</v>
      </c>
      <c r="Z15" s="44">
        <v>0</v>
      </c>
      <c r="AA15" s="44">
        <v>0</v>
      </c>
      <c r="AB15" s="109">
        <v>0</v>
      </c>
      <c r="AC15" s="106">
        <v>24.170000000000073</v>
      </c>
      <c r="AD15" s="245">
        <v>320.45999999999998</v>
      </c>
      <c r="AE15" s="243">
        <f t="shared" si="11"/>
        <v>1361.3200000000002</v>
      </c>
      <c r="AF15" s="233">
        <v>14.7</v>
      </c>
      <c r="AG15" s="7">
        <v>322.47000000000003</v>
      </c>
      <c r="AH15" s="7">
        <f t="shared" si="12"/>
        <v>1341.24</v>
      </c>
      <c r="AI15" s="255">
        <v>322.47000000000003</v>
      </c>
      <c r="AJ15" s="255"/>
      <c r="AK15" s="255">
        <v>322.47000000000003</v>
      </c>
      <c r="AL15" s="207">
        <v>319455</v>
      </c>
      <c r="AM15" s="90">
        <f t="shared" si="4"/>
        <v>2897</v>
      </c>
      <c r="AN15" s="222">
        <v>37605</v>
      </c>
      <c r="AO15" s="76">
        <f t="shared" si="2"/>
        <v>590</v>
      </c>
      <c r="AP15" s="90"/>
      <c r="AQ15" s="90"/>
      <c r="AR15" s="76">
        <v>52936</v>
      </c>
      <c r="AS15" s="227">
        <f t="shared" si="5"/>
        <v>0</v>
      </c>
      <c r="AT15" s="76">
        <v>84566</v>
      </c>
      <c r="AU15" s="227">
        <f t="shared" si="6"/>
        <v>0</v>
      </c>
      <c r="AV15" s="49">
        <f t="shared" si="9"/>
        <v>0</v>
      </c>
      <c r="AW15" s="17">
        <v>2</v>
      </c>
      <c r="AY15" s="79"/>
      <c r="AZ15" s="74"/>
      <c r="BA15" s="74"/>
    </row>
    <row r="16" spans="2:53" x14ac:dyDescent="0.25">
      <c r="B16" s="8">
        <f t="shared" si="7"/>
        <v>44814</v>
      </c>
      <c r="C16" s="42" t="str">
        <f t="shared" si="1"/>
        <v>Sat</v>
      </c>
      <c r="D16" s="141">
        <v>0.37</v>
      </c>
      <c r="E16" s="142">
        <v>0.31</v>
      </c>
      <c r="F16" s="142">
        <v>0.28000000000000003</v>
      </c>
      <c r="G16" s="143">
        <v>8016</v>
      </c>
      <c r="H16" s="144">
        <v>0.57199999999999995</v>
      </c>
      <c r="I16" s="97"/>
      <c r="J16" s="23"/>
      <c r="K16" s="198">
        <v>2069802</v>
      </c>
      <c r="L16" s="127">
        <v>25748</v>
      </c>
      <c r="M16" s="21"/>
      <c r="N16" s="22"/>
      <c r="O16" s="21">
        <v>0</v>
      </c>
      <c r="P16" s="22">
        <v>52936</v>
      </c>
      <c r="Q16" s="21">
        <f t="shared" si="8"/>
        <v>0</v>
      </c>
      <c r="R16" s="22">
        <v>84566</v>
      </c>
      <c r="S16" s="21">
        <f t="shared" si="3"/>
        <v>0</v>
      </c>
      <c r="T16" s="109">
        <v>0</v>
      </c>
      <c r="U16" s="109">
        <v>0</v>
      </c>
      <c r="V16" s="105">
        <f t="shared" si="10"/>
        <v>0</v>
      </c>
      <c r="W16" s="109">
        <v>0</v>
      </c>
      <c r="X16" s="51">
        <v>25748</v>
      </c>
      <c r="Y16" s="49">
        <f t="shared" si="0"/>
        <v>25748</v>
      </c>
      <c r="Z16" s="44">
        <v>0</v>
      </c>
      <c r="AA16" s="44">
        <v>0</v>
      </c>
      <c r="AB16" s="109">
        <v>0</v>
      </c>
      <c r="AC16" s="106">
        <v>23.909999999999854</v>
      </c>
      <c r="AD16" s="244">
        <v>262.11</v>
      </c>
      <c r="AE16" s="243">
        <f t="shared" si="11"/>
        <v>1623.4300000000003</v>
      </c>
      <c r="AF16" s="233">
        <v>15.82</v>
      </c>
      <c r="AG16" s="7">
        <v>262.13</v>
      </c>
      <c r="AH16" s="7">
        <f t="shared" si="12"/>
        <v>1603.37</v>
      </c>
      <c r="AI16" s="255">
        <v>262.13</v>
      </c>
      <c r="AJ16" s="255"/>
      <c r="AK16" s="255">
        <v>262.13</v>
      </c>
      <c r="AL16" s="207">
        <v>322255</v>
      </c>
      <c r="AM16" s="90">
        <f t="shared" si="4"/>
        <v>2800</v>
      </c>
      <c r="AN16" s="222">
        <v>38319</v>
      </c>
      <c r="AO16" s="76">
        <f t="shared" si="2"/>
        <v>714</v>
      </c>
      <c r="AP16" s="90"/>
      <c r="AQ16" s="90"/>
      <c r="AR16" s="76">
        <v>52936</v>
      </c>
      <c r="AS16" s="227">
        <f t="shared" si="5"/>
        <v>0</v>
      </c>
      <c r="AT16" s="76">
        <v>84566</v>
      </c>
      <c r="AU16" s="227">
        <f t="shared" si="6"/>
        <v>0</v>
      </c>
      <c r="AV16" s="49">
        <f t="shared" si="9"/>
        <v>0</v>
      </c>
      <c r="AW16" s="17">
        <v>2</v>
      </c>
      <c r="AY16" s="79"/>
      <c r="AZ16" s="74"/>
      <c r="BA16" s="74"/>
    </row>
    <row r="17" spans="2:53" x14ac:dyDescent="0.25">
      <c r="B17" s="8">
        <f t="shared" si="7"/>
        <v>44815</v>
      </c>
      <c r="C17" s="42" t="str">
        <f t="shared" si="1"/>
        <v>Sun</v>
      </c>
      <c r="D17" s="146">
        <v>0.47</v>
      </c>
      <c r="E17" s="147">
        <v>0.35</v>
      </c>
      <c r="F17" s="147">
        <v>0.38</v>
      </c>
      <c r="G17" s="143">
        <v>10020</v>
      </c>
      <c r="H17" s="148">
        <v>0.56699999999999995</v>
      </c>
      <c r="I17" s="97"/>
      <c r="J17" s="26"/>
      <c r="K17" s="198">
        <v>2073753</v>
      </c>
      <c r="L17" s="127">
        <v>3951</v>
      </c>
      <c r="M17" s="21"/>
      <c r="N17" s="22"/>
      <c r="O17" s="21">
        <v>0</v>
      </c>
      <c r="P17" s="22">
        <v>73031</v>
      </c>
      <c r="Q17" s="21">
        <f t="shared" si="8"/>
        <v>20095</v>
      </c>
      <c r="R17" s="22">
        <v>84566</v>
      </c>
      <c r="S17" s="21">
        <f t="shared" si="3"/>
        <v>0</v>
      </c>
      <c r="T17" s="109">
        <v>0</v>
      </c>
      <c r="U17" s="109">
        <v>0</v>
      </c>
      <c r="V17" s="105">
        <f t="shared" ref="V17:V24" si="13">SUM(T17:U17)</f>
        <v>0</v>
      </c>
      <c r="W17" s="109">
        <v>0</v>
      </c>
      <c r="X17" s="51">
        <v>2954</v>
      </c>
      <c r="Y17" s="49">
        <f t="shared" si="0"/>
        <v>2954</v>
      </c>
      <c r="Z17" s="44">
        <v>0</v>
      </c>
      <c r="AA17" s="44">
        <v>0</v>
      </c>
      <c r="AB17" s="109">
        <v>0</v>
      </c>
      <c r="AC17" s="106">
        <v>4.2100000000000364</v>
      </c>
      <c r="AD17" s="244">
        <v>0</v>
      </c>
      <c r="AE17" s="243">
        <f t="shared" si="11"/>
        <v>1623.4300000000003</v>
      </c>
      <c r="AF17" s="233"/>
      <c r="AG17" s="102">
        <v>0</v>
      </c>
      <c r="AH17" s="7">
        <f t="shared" si="12"/>
        <v>1603.37</v>
      </c>
      <c r="AI17" s="256" t="s">
        <v>65</v>
      </c>
      <c r="AJ17" s="256"/>
      <c r="AK17" s="256">
        <v>0</v>
      </c>
      <c r="AL17" s="208">
        <v>325105</v>
      </c>
      <c r="AM17" s="90">
        <f t="shared" si="4"/>
        <v>2850</v>
      </c>
      <c r="AN17" s="222">
        <v>39099</v>
      </c>
      <c r="AO17" s="76">
        <f t="shared" si="2"/>
        <v>780</v>
      </c>
      <c r="AP17" s="90"/>
      <c r="AQ17" s="90"/>
      <c r="AR17" s="76">
        <v>73031</v>
      </c>
      <c r="AS17" s="227">
        <f t="shared" si="5"/>
        <v>20095</v>
      </c>
      <c r="AT17" s="76">
        <v>84566</v>
      </c>
      <c r="AU17" s="227">
        <f t="shared" si="6"/>
        <v>0</v>
      </c>
      <c r="AV17" s="49">
        <f t="shared" si="9"/>
        <v>20095</v>
      </c>
      <c r="AW17" s="17" t="s">
        <v>54</v>
      </c>
      <c r="AY17" s="79"/>
      <c r="AZ17" s="74"/>
      <c r="BA17" s="74"/>
    </row>
    <row r="18" spans="2:53" x14ac:dyDescent="0.25">
      <c r="B18" s="8">
        <f t="shared" si="7"/>
        <v>44816</v>
      </c>
      <c r="C18" s="42" t="str">
        <f t="shared" si="1"/>
        <v>Mon</v>
      </c>
      <c r="D18" s="141">
        <v>0.86</v>
      </c>
      <c r="E18" s="142">
        <v>0.44</v>
      </c>
      <c r="F18" s="142">
        <v>0.77</v>
      </c>
      <c r="G18" s="143">
        <v>17284.5</v>
      </c>
      <c r="H18" s="148">
        <v>0.56399999999999995</v>
      </c>
      <c r="I18" s="97"/>
      <c r="J18" s="26"/>
      <c r="K18" s="197">
        <v>2080554</v>
      </c>
      <c r="L18" s="127">
        <v>6801</v>
      </c>
      <c r="M18" s="21"/>
      <c r="N18" s="22"/>
      <c r="O18" s="21">
        <v>0</v>
      </c>
      <c r="P18" s="22">
        <v>80272</v>
      </c>
      <c r="Q18" s="21">
        <f t="shared" si="8"/>
        <v>7241</v>
      </c>
      <c r="R18" s="22">
        <v>84566</v>
      </c>
      <c r="S18" s="21">
        <f t="shared" si="3"/>
        <v>0</v>
      </c>
      <c r="T18" s="109">
        <v>0</v>
      </c>
      <c r="U18" s="109">
        <v>0</v>
      </c>
      <c r="V18" s="105">
        <f t="shared" si="13"/>
        <v>0</v>
      </c>
      <c r="W18" s="109">
        <v>0</v>
      </c>
      <c r="X18" s="51">
        <v>7798</v>
      </c>
      <c r="Y18" s="49">
        <f t="shared" si="0"/>
        <v>7798</v>
      </c>
      <c r="Z18" s="44">
        <v>0</v>
      </c>
      <c r="AA18" s="44">
        <v>0</v>
      </c>
      <c r="AB18" s="109">
        <v>0</v>
      </c>
      <c r="AC18" s="106">
        <v>14.880000000000109</v>
      </c>
      <c r="AD18" s="239">
        <v>0</v>
      </c>
      <c r="AE18" s="243">
        <f t="shared" si="11"/>
        <v>1623.4300000000003</v>
      </c>
      <c r="AF18" s="239"/>
      <c r="AG18" s="102">
        <v>0</v>
      </c>
      <c r="AH18" s="7">
        <f t="shared" si="12"/>
        <v>1603.37</v>
      </c>
      <c r="AI18" s="256" t="s">
        <v>65</v>
      </c>
      <c r="AJ18" s="256"/>
      <c r="AK18" s="256">
        <v>0</v>
      </c>
      <c r="AL18" s="208">
        <v>326802</v>
      </c>
      <c r="AM18" s="90">
        <f t="shared" si="4"/>
        <v>1697</v>
      </c>
      <c r="AN18" s="222">
        <v>39736</v>
      </c>
      <c r="AO18" s="76">
        <f t="shared" si="2"/>
        <v>637</v>
      </c>
      <c r="AP18" s="90"/>
      <c r="AQ18" s="90"/>
      <c r="AR18" s="76">
        <v>80272</v>
      </c>
      <c r="AS18" s="227">
        <f t="shared" si="5"/>
        <v>7241</v>
      </c>
      <c r="AT18" s="76">
        <v>84566</v>
      </c>
      <c r="AU18" s="227">
        <f t="shared" si="6"/>
        <v>0</v>
      </c>
      <c r="AV18" s="49">
        <f t="shared" ref="AV18:AV24" si="14">AS18+AU18</f>
        <v>7241</v>
      </c>
      <c r="AW18" s="17" t="s">
        <v>54</v>
      </c>
      <c r="AY18" s="79"/>
      <c r="AZ18" s="74"/>
      <c r="BA18" s="74"/>
    </row>
    <row r="19" spans="2:53" x14ac:dyDescent="0.25">
      <c r="B19" s="8">
        <f t="shared" si="7"/>
        <v>44817</v>
      </c>
      <c r="C19" s="42" t="str">
        <f t="shared" si="1"/>
        <v>Tue</v>
      </c>
      <c r="D19" s="141">
        <v>0.76</v>
      </c>
      <c r="E19" s="142">
        <v>0.6</v>
      </c>
      <c r="F19" s="142">
        <v>0.6</v>
      </c>
      <c r="G19" s="143">
        <v>16366</v>
      </c>
      <c r="H19" s="144">
        <v>0.57199999999999995</v>
      </c>
      <c r="I19" s="97"/>
      <c r="J19" s="22">
        <f t="shared" ref="J19:J37" si="15">I19-I18</f>
        <v>0</v>
      </c>
      <c r="K19" s="198">
        <v>2096404</v>
      </c>
      <c r="L19" s="127">
        <v>15850</v>
      </c>
      <c r="M19" s="26"/>
      <c r="N19" s="26"/>
      <c r="O19" s="22"/>
      <c r="P19" s="22">
        <v>80272</v>
      </c>
      <c r="Q19" s="21">
        <f t="shared" si="8"/>
        <v>0</v>
      </c>
      <c r="R19" s="22">
        <v>84566</v>
      </c>
      <c r="S19" s="21">
        <f t="shared" si="3"/>
        <v>0</v>
      </c>
      <c r="T19" s="109">
        <v>0</v>
      </c>
      <c r="U19" s="109">
        <v>0</v>
      </c>
      <c r="V19" s="105">
        <f t="shared" si="13"/>
        <v>0</v>
      </c>
      <c r="W19" s="109">
        <v>0</v>
      </c>
      <c r="X19" s="103">
        <v>15850</v>
      </c>
      <c r="Y19" s="49">
        <f t="shared" si="0"/>
        <v>15850</v>
      </c>
      <c r="Z19" s="44" t="s">
        <v>70</v>
      </c>
      <c r="AA19" s="44">
        <v>0</v>
      </c>
      <c r="AB19" s="109">
        <v>0</v>
      </c>
      <c r="AC19" s="106">
        <v>19.849999999999909</v>
      </c>
      <c r="AD19" s="244">
        <v>267.77999999999997</v>
      </c>
      <c r="AE19" s="243">
        <f t="shared" si="11"/>
        <v>1891.2100000000003</v>
      </c>
      <c r="AF19" s="239">
        <v>15.98</v>
      </c>
      <c r="AG19" s="7">
        <v>267.77999999999997</v>
      </c>
      <c r="AH19" s="7">
        <f t="shared" si="12"/>
        <v>1871.1499999999999</v>
      </c>
      <c r="AI19" s="256">
        <v>267.77999999999997</v>
      </c>
      <c r="AJ19" s="256"/>
      <c r="AK19" s="256">
        <v>267.77999999999997</v>
      </c>
      <c r="AL19" s="208">
        <v>328077</v>
      </c>
      <c r="AM19" s="90">
        <f t="shared" si="4"/>
        <v>1275</v>
      </c>
      <c r="AN19" s="222">
        <v>40236</v>
      </c>
      <c r="AO19" s="76">
        <f t="shared" si="2"/>
        <v>500</v>
      </c>
      <c r="AP19" s="90"/>
      <c r="AQ19" s="90"/>
      <c r="AR19" s="76">
        <v>80272</v>
      </c>
      <c r="AS19" s="227">
        <f t="shared" si="5"/>
        <v>0</v>
      </c>
      <c r="AT19" s="76">
        <v>84566</v>
      </c>
      <c r="AU19" s="227">
        <f t="shared" si="6"/>
        <v>0</v>
      </c>
      <c r="AV19" s="49">
        <f t="shared" si="14"/>
        <v>0</v>
      </c>
      <c r="AW19" s="17">
        <v>2</v>
      </c>
      <c r="AY19" s="79"/>
      <c r="AZ19" s="74"/>
      <c r="BA19" s="74"/>
    </row>
    <row r="20" spans="2:53" x14ac:dyDescent="0.25">
      <c r="B20" s="8">
        <f t="shared" si="7"/>
        <v>44818</v>
      </c>
      <c r="C20" s="42" t="str">
        <f t="shared" si="1"/>
        <v>Wed</v>
      </c>
      <c r="D20" s="176">
        <v>0.83</v>
      </c>
      <c r="E20" s="176">
        <v>0.57999999999999996</v>
      </c>
      <c r="F20" s="176">
        <v>0.54</v>
      </c>
      <c r="G20" s="143">
        <v>16282.5</v>
      </c>
      <c r="H20" s="144">
        <v>0.57399999999999995</v>
      </c>
      <c r="I20" s="97"/>
      <c r="J20" s="22">
        <f t="shared" si="15"/>
        <v>0</v>
      </c>
      <c r="K20" s="197">
        <v>2117050</v>
      </c>
      <c r="L20" s="127">
        <v>20646</v>
      </c>
      <c r="M20" s="26"/>
      <c r="N20" s="26"/>
      <c r="O20" s="22"/>
      <c r="P20" s="22">
        <v>80272</v>
      </c>
      <c r="Q20" s="21">
        <f t="shared" si="8"/>
        <v>0</v>
      </c>
      <c r="R20" s="22">
        <v>84566</v>
      </c>
      <c r="S20" s="21">
        <f t="shared" si="3"/>
        <v>0</v>
      </c>
      <c r="T20" s="109">
        <v>0</v>
      </c>
      <c r="U20" s="109">
        <v>0</v>
      </c>
      <c r="V20" s="105">
        <f t="shared" si="13"/>
        <v>0</v>
      </c>
      <c r="W20" s="109">
        <v>0</v>
      </c>
      <c r="X20" s="103">
        <v>20646</v>
      </c>
      <c r="Y20" s="49">
        <f t="shared" si="0"/>
        <v>20646</v>
      </c>
      <c r="Z20" s="44">
        <v>0</v>
      </c>
      <c r="AA20" s="44">
        <v>0</v>
      </c>
      <c r="AB20" s="109">
        <v>0</v>
      </c>
      <c r="AC20" s="106">
        <v>23.360000000000127</v>
      </c>
      <c r="AD20" s="244">
        <v>232.63</v>
      </c>
      <c r="AE20" s="243">
        <f t="shared" si="11"/>
        <v>2123.84</v>
      </c>
      <c r="AF20" s="239">
        <v>16.22</v>
      </c>
      <c r="AG20" s="135">
        <v>232.63</v>
      </c>
      <c r="AH20" s="7">
        <f t="shared" si="12"/>
        <v>2103.7799999999997</v>
      </c>
      <c r="AI20" s="256">
        <v>232.63</v>
      </c>
      <c r="AJ20" s="256"/>
      <c r="AK20" s="256">
        <v>232.63</v>
      </c>
      <c r="AL20" s="208">
        <v>330676</v>
      </c>
      <c r="AM20" s="90">
        <f t="shared" si="4"/>
        <v>2599</v>
      </c>
      <c r="AN20" s="222">
        <v>41016</v>
      </c>
      <c r="AO20" s="76">
        <f t="shared" si="2"/>
        <v>780</v>
      </c>
      <c r="AP20" s="90"/>
      <c r="AQ20" s="90"/>
      <c r="AR20" s="76">
        <v>80272</v>
      </c>
      <c r="AS20" s="227">
        <f t="shared" si="5"/>
        <v>0</v>
      </c>
      <c r="AT20" s="76">
        <v>84566</v>
      </c>
      <c r="AU20" s="227">
        <f t="shared" si="6"/>
        <v>0</v>
      </c>
      <c r="AV20" s="49">
        <f t="shared" si="14"/>
        <v>0</v>
      </c>
      <c r="AW20" s="17">
        <v>2</v>
      </c>
      <c r="AY20" s="79"/>
      <c r="AZ20" s="74"/>
      <c r="BA20" s="74"/>
    </row>
    <row r="21" spans="2:53" x14ac:dyDescent="0.25">
      <c r="B21" s="8">
        <f t="shared" si="7"/>
        <v>44819</v>
      </c>
      <c r="C21" s="42" t="str">
        <f t="shared" si="1"/>
        <v>Thu</v>
      </c>
      <c r="D21" s="146">
        <v>0.77</v>
      </c>
      <c r="E21" s="146">
        <v>0.64</v>
      </c>
      <c r="F21" s="146">
        <v>0.54</v>
      </c>
      <c r="G21" s="143">
        <v>16282.5</v>
      </c>
      <c r="H21" s="151">
        <v>0.57199999999999995</v>
      </c>
      <c r="I21" s="97"/>
      <c r="J21" s="22">
        <f t="shared" si="15"/>
        <v>0</v>
      </c>
      <c r="K21" s="195">
        <v>2139081</v>
      </c>
      <c r="L21" s="127">
        <v>22031</v>
      </c>
      <c r="M21" s="26"/>
      <c r="N21" s="26"/>
      <c r="O21" s="22"/>
      <c r="P21" s="22">
        <v>85800</v>
      </c>
      <c r="Q21" s="21">
        <f t="shared" si="8"/>
        <v>5528</v>
      </c>
      <c r="R21" s="22">
        <v>84566</v>
      </c>
      <c r="S21" s="21">
        <f t="shared" si="3"/>
        <v>0</v>
      </c>
      <c r="T21" s="109">
        <v>0</v>
      </c>
      <c r="U21" s="109">
        <v>0</v>
      </c>
      <c r="V21" s="105">
        <f t="shared" si="13"/>
        <v>0</v>
      </c>
      <c r="W21" s="109">
        <v>0</v>
      </c>
      <c r="X21" s="103">
        <v>22031</v>
      </c>
      <c r="Y21" s="49">
        <f t="shared" si="0"/>
        <v>22031</v>
      </c>
      <c r="Z21" s="44">
        <v>0</v>
      </c>
      <c r="AA21" s="44">
        <v>0</v>
      </c>
      <c r="AB21" s="109">
        <v>0</v>
      </c>
      <c r="AC21" s="106">
        <v>23.940000000000055</v>
      </c>
      <c r="AD21" s="244">
        <v>236.12</v>
      </c>
      <c r="AE21" s="243">
        <f t="shared" si="11"/>
        <v>2359.96</v>
      </c>
      <c r="AF21" s="239">
        <v>15.38</v>
      </c>
      <c r="AG21" s="135">
        <v>236.12</v>
      </c>
      <c r="AH21" s="7">
        <f t="shared" si="12"/>
        <v>2339.8999999999996</v>
      </c>
      <c r="AI21" s="256">
        <v>236.12</v>
      </c>
      <c r="AJ21" s="256"/>
      <c r="AK21" s="256">
        <v>236.12</v>
      </c>
      <c r="AL21" s="208">
        <v>333408</v>
      </c>
      <c r="AM21" s="90">
        <f t="shared" si="4"/>
        <v>2732</v>
      </c>
      <c r="AN21" s="222">
        <v>41762</v>
      </c>
      <c r="AO21" s="76">
        <f t="shared" si="2"/>
        <v>746</v>
      </c>
      <c r="AP21" s="90"/>
      <c r="AQ21" s="90"/>
      <c r="AR21" s="76">
        <v>85800</v>
      </c>
      <c r="AS21" s="227">
        <f t="shared" si="5"/>
        <v>5528</v>
      </c>
      <c r="AT21" s="76">
        <v>84566</v>
      </c>
      <c r="AU21" s="227">
        <f t="shared" si="6"/>
        <v>0</v>
      </c>
      <c r="AV21" s="49">
        <f t="shared" si="14"/>
        <v>5528</v>
      </c>
      <c r="AW21" s="17">
        <v>2</v>
      </c>
      <c r="AZ21" s="74"/>
      <c r="BA21" s="74"/>
    </row>
    <row r="22" spans="2:53" x14ac:dyDescent="0.25">
      <c r="B22" s="8">
        <f t="shared" si="7"/>
        <v>44820</v>
      </c>
      <c r="C22" s="42" t="str">
        <f t="shared" si="1"/>
        <v>Fri</v>
      </c>
      <c r="D22" s="179">
        <v>0.74</v>
      </c>
      <c r="E22" s="179">
        <v>0.65</v>
      </c>
      <c r="F22" s="179">
        <v>0.6</v>
      </c>
      <c r="G22" s="143">
        <v>16616.5</v>
      </c>
      <c r="H22" s="151">
        <v>0.56799999999999995</v>
      </c>
      <c r="I22" s="97"/>
      <c r="J22" s="22">
        <f t="shared" si="15"/>
        <v>0</v>
      </c>
      <c r="K22" s="195">
        <v>2163807</v>
      </c>
      <c r="L22" s="127">
        <v>24726</v>
      </c>
      <c r="M22" s="26"/>
      <c r="N22" s="26"/>
      <c r="O22" s="22"/>
      <c r="P22" s="22">
        <v>85800</v>
      </c>
      <c r="Q22" s="21">
        <f t="shared" si="8"/>
        <v>0</v>
      </c>
      <c r="R22" s="22">
        <v>84566</v>
      </c>
      <c r="S22" s="21">
        <f t="shared" si="3"/>
        <v>0</v>
      </c>
      <c r="T22" s="109">
        <v>0</v>
      </c>
      <c r="U22" s="109">
        <v>0</v>
      </c>
      <c r="V22" s="105">
        <f t="shared" si="13"/>
        <v>0</v>
      </c>
      <c r="W22" s="109">
        <v>0</v>
      </c>
      <c r="X22" s="103">
        <v>24726</v>
      </c>
      <c r="Y22" s="49">
        <f t="shared" si="0"/>
        <v>24726</v>
      </c>
      <c r="Z22" s="44">
        <v>0</v>
      </c>
      <c r="AA22" s="44">
        <v>0</v>
      </c>
      <c r="AB22" s="109">
        <v>0</v>
      </c>
      <c r="AC22" s="106">
        <v>24.109999999999673</v>
      </c>
      <c r="AD22" s="244">
        <v>296.8</v>
      </c>
      <c r="AE22" s="243">
        <f t="shared" si="11"/>
        <v>2656.76</v>
      </c>
      <c r="AF22" s="239">
        <v>15.71</v>
      </c>
      <c r="AG22" s="135">
        <v>296.8</v>
      </c>
      <c r="AH22" s="7">
        <f t="shared" si="12"/>
        <v>2636.7</v>
      </c>
      <c r="AI22" s="256">
        <v>296.8</v>
      </c>
      <c r="AJ22" s="256"/>
      <c r="AK22" s="256">
        <v>296.8</v>
      </c>
      <c r="AL22" s="208">
        <v>336118</v>
      </c>
      <c r="AM22" s="90">
        <f t="shared" si="4"/>
        <v>2710</v>
      </c>
      <c r="AN22" s="222">
        <v>42680</v>
      </c>
      <c r="AO22" s="76">
        <f t="shared" si="2"/>
        <v>918</v>
      </c>
      <c r="AP22" s="90"/>
      <c r="AQ22" s="90"/>
      <c r="AR22" s="76">
        <v>85800</v>
      </c>
      <c r="AS22" s="227">
        <f t="shared" si="5"/>
        <v>0</v>
      </c>
      <c r="AT22" s="76">
        <v>84566</v>
      </c>
      <c r="AU22" s="227">
        <f t="shared" si="6"/>
        <v>0</v>
      </c>
      <c r="AV22" s="49">
        <f t="shared" si="14"/>
        <v>0</v>
      </c>
      <c r="AW22" s="17">
        <v>2</v>
      </c>
      <c r="AZ22" s="74"/>
      <c r="BA22" s="74"/>
    </row>
    <row r="23" spans="2:53" x14ac:dyDescent="0.25">
      <c r="B23" s="8">
        <f t="shared" si="7"/>
        <v>44821</v>
      </c>
      <c r="C23" s="42" t="str">
        <f t="shared" si="1"/>
        <v>Sat</v>
      </c>
      <c r="D23" s="180">
        <v>0.13</v>
      </c>
      <c r="E23" s="180">
        <v>0.15</v>
      </c>
      <c r="F23" s="180">
        <v>0.25</v>
      </c>
      <c r="G23" s="143">
        <v>4425.5</v>
      </c>
      <c r="H23" s="152">
        <v>0.56799999999999995</v>
      </c>
      <c r="I23" s="97"/>
      <c r="J23" s="22">
        <f t="shared" si="15"/>
        <v>0</v>
      </c>
      <c r="K23" s="199">
        <v>2196785</v>
      </c>
      <c r="L23" s="127">
        <v>32978</v>
      </c>
      <c r="M23" s="26"/>
      <c r="N23" s="26"/>
      <c r="O23" s="22"/>
      <c r="P23" s="22">
        <v>85800</v>
      </c>
      <c r="Q23" s="21">
        <f t="shared" si="8"/>
        <v>0</v>
      </c>
      <c r="R23" s="22">
        <v>84566</v>
      </c>
      <c r="S23" s="21">
        <f t="shared" si="3"/>
        <v>0</v>
      </c>
      <c r="T23" s="109">
        <v>0</v>
      </c>
      <c r="U23" s="109">
        <v>0</v>
      </c>
      <c r="V23" s="105">
        <f t="shared" si="13"/>
        <v>0</v>
      </c>
      <c r="W23" s="109">
        <v>0</v>
      </c>
      <c r="X23" s="103">
        <v>32978</v>
      </c>
      <c r="Y23" s="49">
        <f t="shared" si="0"/>
        <v>32978</v>
      </c>
      <c r="Z23" s="44">
        <v>0</v>
      </c>
      <c r="AA23" s="44">
        <v>0</v>
      </c>
      <c r="AB23" s="109">
        <v>0</v>
      </c>
      <c r="AC23" s="106">
        <v>24</v>
      </c>
      <c r="AD23" s="244">
        <v>249.99</v>
      </c>
      <c r="AE23" s="243">
        <f t="shared" si="11"/>
        <v>2906.75</v>
      </c>
      <c r="AF23" s="239">
        <v>16.079999999999998</v>
      </c>
      <c r="AG23" s="134">
        <v>249.99</v>
      </c>
      <c r="AH23" s="7">
        <f t="shared" si="12"/>
        <v>2886.6899999999996</v>
      </c>
      <c r="AI23" s="256">
        <v>249.99</v>
      </c>
      <c r="AJ23" s="256"/>
      <c r="AK23" s="256">
        <v>249.99</v>
      </c>
      <c r="AL23" s="208">
        <v>338860</v>
      </c>
      <c r="AM23" s="90">
        <f t="shared" si="4"/>
        <v>2742</v>
      </c>
      <c r="AN23" s="222">
        <v>43533</v>
      </c>
      <c r="AO23" s="76">
        <f t="shared" si="2"/>
        <v>853</v>
      </c>
      <c r="AP23" s="90"/>
      <c r="AQ23" s="90"/>
      <c r="AR23" s="76">
        <v>85800</v>
      </c>
      <c r="AS23" s="227">
        <f t="shared" si="5"/>
        <v>0</v>
      </c>
      <c r="AT23" s="76">
        <v>84566</v>
      </c>
      <c r="AU23" s="227">
        <f t="shared" si="6"/>
        <v>0</v>
      </c>
      <c r="AV23" s="49">
        <f t="shared" si="14"/>
        <v>0</v>
      </c>
      <c r="AW23" s="17">
        <v>2</v>
      </c>
    </row>
    <row r="24" spans="2:53" x14ac:dyDescent="0.25">
      <c r="B24" s="8">
        <f t="shared" si="7"/>
        <v>44822</v>
      </c>
      <c r="C24" s="42" t="str">
        <f t="shared" si="1"/>
        <v>Sun</v>
      </c>
      <c r="D24" s="180">
        <v>0.76</v>
      </c>
      <c r="E24" s="180">
        <v>0.47</v>
      </c>
      <c r="F24" s="180">
        <v>0.74</v>
      </c>
      <c r="G24" s="143">
        <v>16449.5</v>
      </c>
      <c r="H24" s="152">
        <v>0.56200000000000006</v>
      </c>
      <c r="I24" s="97"/>
      <c r="J24" s="22">
        <f t="shared" si="15"/>
        <v>0</v>
      </c>
      <c r="K24" s="195">
        <v>2204099</v>
      </c>
      <c r="L24" s="127">
        <v>7314</v>
      </c>
      <c r="M24" s="26"/>
      <c r="N24" s="26"/>
      <c r="O24" s="22"/>
      <c r="P24" s="22">
        <v>85800</v>
      </c>
      <c r="Q24" s="21">
        <f t="shared" si="8"/>
        <v>0</v>
      </c>
      <c r="R24" s="22">
        <v>88261</v>
      </c>
      <c r="S24" s="21">
        <f t="shared" si="3"/>
        <v>3695</v>
      </c>
      <c r="T24" s="109">
        <v>0</v>
      </c>
      <c r="U24" s="109">
        <v>0</v>
      </c>
      <c r="V24" s="105">
        <f t="shared" si="13"/>
        <v>0</v>
      </c>
      <c r="W24" s="109">
        <v>0</v>
      </c>
      <c r="X24" s="103">
        <v>7314</v>
      </c>
      <c r="Y24" s="49">
        <f t="shared" si="0"/>
        <v>7314</v>
      </c>
      <c r="Z24" s="44">
        <v>0</v>
      </c>
      <c r="AA24" s="44">
        <v>0</v>
      </c>
      <c r="AB24" s="109">
        <v>0</v>
      </c>
      <c r="AC24" s="106">
        <v>7.2699999999999818</v>
      </c>
      <c r="AD24" s="244">
        <v>0</v>
      </c>
      <c r="AE24" s="243">
        <f t="shared" si="11"/>
        <v>2906.75</v>
      </c>
      <c r="AF24" s="239"/>
      <c r="AG24" s="102">
        <v>0</v>
      </c>
      <c r="AH24" s="7">
        <f t="shared" si="12"/>
        <v>2886.6899999999996</v>
      </c>
      <c r="AI24" s="256">
        <v>0</v>
      </c>
      <c r="AJ24" s="256"/>
      <c r="AK24" s="256">
        <v>0</v>
      </c>
      <c r="AL24" s="208">
        <v>341560</v>
      </c>
      <c r="AM24" s="90">
        <f t="shared" si="4"/>
        <v>2700</v>
      </c>
      <c r="AN24" s="222">
        <v>44427</v>
      </c>
      <c r="AO24" s="76">
        <f t="shared" si="2"/>
        <v>894</v>
      </c>
      <c r="AP24" s="90"/>
      <c r="AQ24" s="90"/>
      <c r="AR24" s="76">
        <v>85800</v>
      </c>
      <c r="AS24" s="227">
        <f t="shared" si="5"/>
        <v>0</v>
      </c>
      <c r="AT24" s="76">
        <v>88261</v>
      </c>
      <c r="AU24" s="227">
        <f t="shared" si="6"/>
        <v>3695</v>
      </c>
      <c r="AV24" s="49">
        <f t="shared" si="14"/>
        <v>3695</v>
      </c>
      <c r="AW24" s="17" t="s">
        <v>54</v>
      </c>
      <c r="AY24" s="74"/>
    </row>
    <row r="25" spans="2:53" x14ac:dyDescent="0.25">
      <c r="B25" s="8">
        <f t="shared" si="7"/>
        <v>44823</v>
      </c>
      <c r="C25" s="42" t="str">
        <f t="shared" si="1"/>
        <v>Mon</v>
      </c>
      <c r="D25" s="180">
        <v>0.77</v>
      </c>
      <c r="E25" s="180">
        <v>0.82</v>
      </c>
      <c r="F25" s="180">
        <v>0.72</v>
      </c>
      <c r="G25" s="143">
        <v>19288.5</v>
      </c>
      <c r="H25" s="152">
        <v>0.56299999999999994</v>
      </c>
      <c r="I25" s="97"/>
      <c r="J25" s="22">
        <f t="shared" si="15"/>
        <v>0</v>
      </c>
      <c r="K25" s="195">
        <v>2204099</v>
      </c>
      <c r="L25" s="127">
        <v>0</v>
      </c>
      <c r="M25" s="26"/>
      <c r="N25" s="26"/>
      <c r="O25" s="22"/>
      <c r="P25" s="22">
        <v>85800</v>
      </c>
      <c r="Q25" s="21">
        <f t="shared" si="8"/>
        <v>0</v>
      </c>
      <c r="R25" s="22">
        <v>88261</v>
      </c>
      <c r="S25" s="21">
        <f t="shared" si="3"/>
        <v>0</v>
      </c>
      <c r="T25" s="109">
        <v>0</v>
      </c>
      <c r="U25" s="109">
        <v>0</v>
      </c>
      <c r="V25" s="107">
        <f t="shared" ref="V25:V37" si="16">SUM(T25:U25)</f>
        <v>0</v>
      </c>
      <c r="W25" s="109">
        <v>0</v>
      </c>
      <c r="X25" s="103">
        <v>0</v>
      </c>
      <c r="Y25" s="49">
        <f t="shared" si="0"/>
        <v>0</v>
      </c>
      <c r="Z25" s="44">
        <v>0</v>
      </c>
      <c r="AA25" s="44">
        <v>0</v>
      </c>
      <c r="AB25" s="109">
        <v>0</v>
      </c>
      <c r="AC25" s="106">
        <v>0</v>
      </c>
      <c r="AD25" s="244"/>
      <c r="AE25" s="243">
        <f>AD25+AE24</f>
        <v>2906.75</v>
      </c>
      <c r="AF25" s="239"/>
      <c r="AG25" s="102">
        <v>0</v>
      </c>
      <c r="AH25" s="7">
        <f t="shared" si="12"/>
        <v>2886.6899999999996</v>
      </c>
      <c r="AI25" s="256">
        <v>0</v>
      </c>
      <c r="AJ25" s="256"/>
      <c r="AK25" s="256">
        <v>0</v>
      </c>
      <c r="AL25" s="208">
        <v>344281</v>
      </c>
      <c r="AM25" s="90">
        <f t="shared" si="4"/>
        <v>2721</v>
      </c>
      <c r="AN25" s="222">
        <v>45399</v>
      </c>
      <c r="AO25" s="76">
        <f t="shared" si="2"/>
        <v>972</v>
      </c>
      <c r="AP25" s="90"/>
      <c r="AQ25" s="90"/>
      <c r="AR25" s="76">
        <v>85800</v>
      </c>
      <c r="AS25" s="227">
        <f t="shared" si="5"/>
        <v>0</v>
      </c>
      <c r="AT25" s="76">
        <v>88261</v>
      </c>
      <c r="AU25" s="227">
        <f t="shared" si="6"/>
        <v>0</v>
      </c>
      <c r="AV25" s="49">
        <f t="shared" ref="AV25:AV30" si="17">AS25+AU25</f>
        <v>0</v>
      </c>
      <c r="AW25" s="17" t="s">
        <v>71</v>
      </c>
      <c r="AY25" s="74"/>
    </row>
    <row r="26" spans="2:53" x14ac:dyDescent="0.25">
      <c r="B26" s="8">
        <f t="shared" si="7"/>
        <v>44824</v>
      </c>
      <c r="C26" s="42" t="str">
        <f t="shared" si="1"/>
        <v>Tue</v>
      </c>
      <c r="D26" s="180">
        <v>0.47</v>
      </c>
      <c r="E26" s="180">
        <v>0.39</v>
      </c>
      <c r="F26" s="180">
        <v>0.96</v>
      </c>
      <c r="G26" s="143">
        <v>15197</v>
      </c>
      <c r="H26" s="152">
        <v>0.55700000000000005</v>
      </c>
      <c r="I26" s="97"/>
      <c r="J26" s="22">
        <f t="shared" si="15"/>
        <v>0</v>
      </c>
      <c r="K26" s="195">
        <v>2208502</v>
      </c>
      <c r="L26" s="127">
        <v>4403</v>
      </c>
      <c r="M26" s="26"/>
      <c r="N26" s="26"/>
      <c r="O26" s="22"/>
      <c r="P26" s="22">
        <v>85800</v>
      </c>
      <c r="Q26" s="21">
        <f t="shared" si="8"/>
        <v>0</v>
      </c>
      <c r="R26" s="22">
        <v>88261</v>
      </c>
      <c r="S26" s="21">
        <f t="shared" si="3"/>
        <v>0</v>
      </c>
      <c r="T26" s="103">
        <v>147</v>
      </c>
      <c r="U26" s="109">
        <v>0</v>
      </c>
      <c r="V26" s="107">
        <f t="shared" si="16"/>
        <v>147</v>
      </c>
      <c r="W26" s="109">
        <v>0</v>
      </c>
      <c r="X26" s="103">
        <v>4403</v>
      </c>
      <c r="Y26" s="49">
        <f t="shared" si="0"/>
        <v>4403</v>
      </c>
      <c r="Z26" s="44">
        <v>0</v>
      </c>
      <c r="AA26" s="44">
        <v>0</v>
      </c>
      <c r="AB26" s="109">
        <v>0</v>
      </c>
      <c r="AC26" s="106">
        <v>6.0700000000001637</v>
      </c>
      <c r="AD26" s="244">
        <v>125.3</v>
      </c>
      <c r="AE26" s="243">
        <f>AD26+AE25</f>
        <v>3032.05</v>
      </c>
      <c r="AF26" s="239">
        <v>15.21</v>
      </c>
      <c r="AG26" s="7">
        <v>125.3</v>
      </c>
      <c r="AH26" s="7">
        <f t="shared" si="12"/>
        <v>3011.99</v>
      </c>
      <c r="AI26" s="256">
        <v>125.3</v>
      </c>
      <c r="AJ26" s="256"/>
      <c r="AK26" s="256">
        <v>125.3</v>
      </c>
      <c r="AL26" s="208">
        <v>347681</v>
      </c>
      <c r="AM26" s="90">
        <f t="shared" si="4"/>
        <v>3400</v>
      </c>
      <c r="AN26" s="222">
        <v>46395</v>
      </c>
      <c r="AO26" s="76">
        <f t="shared" si="2"/>
        <v>996</v>
      </c>
      <c r="AP26" s="90"/>
      <c r="AQ26" s="90"/>
      <c r="AR26" s="76">
        <v>85800</v>
      </c>
      <c r="AS26" s="227">
        <f t="shared" si="5"/>
        <v>0</v>
      </c>
      <c r="AT26" s="76">
        <v>88261</v>
      </c>
      <c r="AU26" s="227">
        <f t="shared" si="6"/>
        <v>0</v>
      </c>
      <c r="AV26" s="49">
        <f t="shared" si="17"/>
        <v>0</v>
      </c>
      <c r="AW26" s="17" t="s">
        <v>72</v>
      </c>
      <c r="AY26" s="74"/>
    </row>
    <row r="27" spans="2:53" x14ac:dyDescent="0.25">
      <c r="B27" s="8">
        <f t="shared" si="7"/>
        <v>44825</v>
      </c>
      <c r="C27" s="42" t="str">
        <f t="shared" si="1"/>
        <v>Wed</v>
      </c>
      <c r="D27" s="180">
        <v>0.83</v>
      </c>
      <c r="E27" s="180">
        <v>0.47</v>
      </c>
      <c r="F27" s="180">
        <v>0.47</v>
      </c>
      <c r="G27" s="143">
        <v>14779.5</v>
      </c>
      <c r="H27" s="152">
        <v>0.55700000000000005</v>
      </c>
      <c r="I27" s="97"/>
      <c r="J27" s="22">
        <f t="shared" si="15"/>
        <v>0</v>
      </c>
      <c r="K27" s="195">
        <v>2223781</v>
      </c>
      <c r="L27" s="127">
        <v>15279</v>
      </c>
      <c r="M27" s="26"/>
      <c r="N27" s="26"/>
      <c r="O27" s="22"/>
      <c r="P27" s="22">
        <v>85800</v>
      </c>
      <c r="Q27" s="21">
        <f t="shared" si="8"/>
        <v>0</v>
      </c>
      <c r="R27" s="22">
        <v>88261</v>
      </c>
      <c r="S27" s="21">
        <f t="shared" si="3"/>
        <v>0</v>
      </c>
      <c r="T27" s="109">
        <v>0</v>
      </c>
      <c r="U27" s="109">
        <v>0</v>
      </c>
      <c r="V27" s="107">
        <f t="shared" si="16"/>
        <v>0</v>
      </c>
      <c r="W27" s="109">
        <v>0</v>
      </c>
      <c r="X27" s="103">
        <v>15279</v>
      </c>
      <c r="Y27" s="49">
        <f t="shared" si="0"/>
        <v>15279</v>
      </c>
      <c r="Z27" s="44">
        <v>0</v>
      </c>
      <c r="AA27" s="44">
        <v>0</v>
      </c>
      <c r="AB27" s="109">
        <v>0</v>
      </c>
      <c r="AC27" s="106">
        <v>21.240000000000236</v>
      </c>
      <c r="AD27" s="244">
        <v>342.46</v>
      </c>
      <c r="AE27" s="243">
        <f t="shared" si="11"/>
        <v>3374.51</v>
      </c>
      <c r="AF27" s="239">
        <v>16.010000000000002</v>
      </c>
      <c r="AG27" s="136">
        <v>342.46</v>
      </c>
      <c r="AH27" s="7">
        <f t="shared" si="12"/>
        <v>3354.45</v>
      </c>
      <c r="AI27" s="256">
        <v>342.46</v>
      </c>
      <c r="AJ27" s="256"/>
      <c r="AK27" s="256">
        <v>342.46</v>
      </c>
      <c r="AL27" s="208">
        <v>351167</v>
      </c>
      <c r="AM27" s="90">
        <f t="shared" si="4"/>
        <v>3486</v>
      </c>
      <c r="AN27" s="222">
        <v>47283</v>
      </c>
      <c r="AO27" s="76">
        <f t="shared" si="2"/>
        <v>888</v>
      </c>
      <c r="AP27" s="90"/>
      <c r="AQ27" s="90"/>
      <c r="AR27" s="76">
        <v>85800</v>
      </c>
      <c r="AS27" s="227">
        <f t="shared" si="5"/>
        <v>0</v>
      </c>
      <c r="AT27" s="76">
        <v>88261</v>
      </c>
      <c r="AU27" s="227">
        <f t="shared" si="6"/>
        <v>0</v>
      </c>
      <c r="AV27" s="49">
        <f t="shared" si="17"/>
        <v>0</v>
      </c>
      <c r="AW27" s="17">
        <v>2</v>
      </c>
      <c r="AY27" s="74"/>
    </row>
    <row r="28" spans="2:53" ht="15" x14ac:dyDescent="0.25">
      <c r="B28" s="8">
        <f t="shared" si="7"/>
        <v>44826</v>
      </c>
      <c r="C28" s="42" t="str">
        <f t="shared" si="1"/>
        <v>Thu</v>
      </c>
      <c r="D28" s="180">
        <v>0.79</v>
      </c>
      <c r="E28" s="180">
        <v>0.55000000000000004</v>
      </c>
      <c r="F28" s="180">
        <v>0.56000000000000005</v>
      </c>
      <c r="G28" s="143">
        <v>15865</v>
      </c>
      <c r="H28" s="152">
        <v>0.56100000000000005</v>
      </c>
      <c r="I28" s="97"/>
      <c r="J28" s="22">
        <f t="shared" si="15"/>
        <v>0</v>
      </c>
      <c r="K28" s="195">
        <v>2243881</v>
      </c>
      <c r="L28" s="127">
        <v>20100</v>
      </c>
      <c r="M28" s="26"/>
      <c r="N28" s="26"/>
      <c r="O28" s="22"/>
      <c r="P28" s="22">
        <v>85800</v>
      </c>
      <c r="Q28" s="21">
        <f t="shared" si="8"/>
        <v>0</v>
      </c>
      <c r="R28" s="22">
        <v>88261</v>
      </c>
      <c r="S28" s="21">
        <f t="shared" si="3"/>
        <v>0</v>
      </c>
      <c r="T28" s="109">
        <v>0</v>
      </c>
      <c r="U28" s="109">
        <v>0</v>
      </c>
      <c r="V28" s="107">
        <f t="shared" si="16"/>
        <v>0</v>
      </c>
      <c r="W28" s="109">
        <v>0</v>
      </c>
      <c r="X28" s="103">
        <v>20100</v>
      </c>
      <c r="Y28" s="49">
        <f t="shared" si="0"/>
        <v>20100</v>
      </c>
      <c r="Z28" s="44">
        <v>0</v>
      </c>
      <c r="AA28" s="44">
        <v>0</v>
      </c>
      <c r="AB28" s="109">
        <v>0</v>
      </c>
      <c r="AC28" s="106">
        <v>24</v>
      </c>
      <c r="AD28" s="246">
        <v>313.87</v>
      </c>
      <c r="AE28" s="243">
        <f t="shared" si="11"/>
        <v>3688.38</v>
      </c>
      <c r="AF28" s="239">
        <v>15.65</v>
      </c>
      <c r="AG28" s="136">
        <v>313.87</v>
      </c>
      <c r="AH28" s="7">
        <f t="shared" si="12"/>
        <v>3668.3199999999997</v>
      </c>
      <c r="AI28" s="256">
        <v>313.87</v>
      </c>
      <c r="AJ28" s="256"/>
      <c r="AK28" s="256">
        <v>313.87</v>
      </c>
      <c r="AL28" s="208">
        <v>354653</v>
      </c>
      <c r="AM28" s="90">
        <f t="shared" si="4"/>
        <v>3486</v>
      </c>
      <c r="AN28" s="222">
        <v>47788</v>
      </c>
      <c r="AO28" s="76">
        <f t="shared" si="2"/>
        <v>505</v>
      </c>
      <c r="AP28" s="90"/>
      <c r="AQ28" s="90"/>
      <c r="AR28" s="76">
        <v>85800</v>
      </c>
      <c r="AS28" s="227">
        <f t="shared" si="5"/>
        <v>0</v>
      </c>
      <c r="AT28" s="76">
        <v>88261</v>
      </c>
      <c r="AU28" s="227">
        <f t="shared" si="6"/>
        <v>0</v>
      </c>
      <c r="AV28" s="49">
        <f t="shared" si="17"/>
        <v>0</v>
      </c>
      <c r="AW28" s="17">
        <v>2</v>
      </c>
      <c r="AY28" s="74"/>
    </row>
    <row r="29" spans="2:53" x14ac:dyDescent="0.25">
      <c r="B29" s="8">
        <f t="shared" si="7"/>
        <v>44827</v>
      </c>
      <c r="C29" s="42" t="str">
        <f t="shared" si="1"/>
        <v>Fri</v>
      </c>
      <c r="D29" s="180">
        <v>0.52</v>
      </c>
      <c r="E29" s="180">
        <v>0.44</v>
      </c>
      <c r="F29" s="180">
        <v>0.43</v>
      </c>
      <c r="G29" s="143">
        <v>11606.5</v>
      </c>
      <c r="H29" s="152">
        <v>0.56299999999999994</v>
      </c>
      <c r="I29" s="97"/>
      <c r="J29" s="22">
        <f t="shared" si="15"/>
        <v>0</v>
      </c>
      <c r="K29" s="195">
        <v>2268442</v>
      </c>
      <c r="L29" s="127">
        <v>24561</v>
      </c>
      <c r="M29" s="26"/>
      <c r="N29" s="26"/>
      <c r="O29" s="22"/>
      <c r="P29" s="22">
        <v>85800</v>
      </c>
      <c r="Q29" s="21">
        <f t="shared" si="8"/>
        <v>0</v>
      </c>
      <c r="R29" s="22">
        <v>88261</v>
      </c>
      <c r="S29" s="21">
        <f t="shared" si="3"/>
        <v>0</v>
      </c>
      <c r="T29" s="77">
        <v>2850</v>
      </c>
      <c r="U29" s="109">
        <v>0</v>
      </c>
      <c r="V29" s="107">
        <f t="shared" si="16"/>
        <v>2850</v>
      </c>
      <c r="W29" s="109">
        <v>0</v>
      </c>
      <c r="X29" s="103">
        <v>24561</v>
      </c>
      <c r="Y29" s="49">
        <f t="shared" si="0"/>
        <v>24561</v>
      </c>
      <c r="Z29" s="44">
        <v>0</v>
      </c>
      <c r="AA29" s="44">
        <v>0</v>
      </c>
      <c r="AB29" s="109">
        <v>0</v>
      </c>
      <c r="AC29" s="106">
        <v>20.359999999999673</v>
      </c>
      <c r="AD29" s="244">
        <v>271.20999999999998</v>
      </c>
      <c r="AE29" s="243">
        <f t="shared" si="11"/>
        <v>3959.59</v>
      </c>
      <c r="AF29" s="239">
        <v>15.76</v>
      </c>
      <c r="AG29" s="136">
        <v>271.20999999999998</v>
      </c>
      <c r="AH29" s="7">
        <f t="shared" si="12"/>
        <v>3939.5299999999997</v>
      </c>
      <c r="AI29" s="256">
        <v>271.20999999999998</v>
      </c>
      <c r="AJ29" s="256"/>
      <c r="AK29" s="256">
        <v>271.20999999999998</v>
      </c>
      <c r="AL29" s="208">
        <v>357627</v>
      </c>
      <c r="AM29" s="90">
        <f t="shared" si="4"/>
        <v>2974</v>
      </c>
      <c r="AN29" s="219">
        <v>48345</v>
      </c>
      <c r="AO29" s="76">
        <f t="shared" si="2"/>
        <v>557</v>
      </c>
      <c r="AP29" s="90"/>
      <c r="AQ29" s="90"/>
      <c r="AR29" s="76">
        <v>85800</v>
      </c>
      <c r="AS29" s="227">
        <f t="shared" si="5"/>
        <v>0</v>
      </c>
      <c r="AT29" s="76">
        <v>88261</v>
      </c>
      <c r="AU29" s="227">
        <f t="shared" si="6"/>
        <v>0</v>
      </c>
      <c r="AV29" s="49">
        <f t="shared" si="17"/>
        <v>0</v>
      </c>
      <c r="AW29" s="17">
        <v>2</v>
      </c>
      <c r="AY29" s="74"/>
    </row>
    <row r="30" spans="2:53" x14ac:dyDescent="0.25">
      <c r="B30" s="8">
        <f t="shared" si="7"/>
        <v>44828</v>
      </c>
      <c r="C30" s="42" t="str">
        <f t="shared" si="1"/>
        <v>Sat</v>
      </c>
      <c r="D30" s="120">
        <v>0.3</v>
      </c>
      <c r="E30" s="120">
        <v>0.32</v>
      </c>
      <c r="F30" s="120">
        <v>0.37</v>
      </c>
      <c r="G30" s="143">
        <v>8266.5</v>
      </c>
      <c r="H30" s="152">
        <v>0.55800000000000005</v>
      </c>
      <c r="I30" s="97"/>
      <c r="J30" s="22">
        <f t="shared" si="15"/>
        <v>0</v>
      </c>
      <c r="K30" s="201">
        <v>2302603</v>
      </c>
      <c r="L30" s="127">
        <v>34161</v>
      </c>
      <c r="M30" s="26"/>
      <c r="N30" s="26"/>
      <c r="O30" s="22"/>
      <c r="P30" s="22">
        <v>85800</v>
      </c>
      <c r="Q30" s="21">
        <f t="shared" si="8"/>
        <v>0</v>
      </c>
      <c r="R30" s="22">
        <v>88261</v>
      </c>
      <c r="S30" s="21">
        <f t="shared" si="3"/>
        <v>0</v>
      </c>
      <c r="T30" s="109">
        <v>0</v>
      </c>
      <c r="U30" s="109">
        <v>0</v>
      </c>
      <c r="V30" s="107">
        <f t="shared" si="16"/>
        <v>0</v>
      </c>
      <c r="W30" s="109">
        <v>0</v>
      </c>
      <c r="X30" s="103">
        <v>22821</v>
      </c>
      <c r="Y30" s="49">
        <f t="shared" si="0"/>
        <v>22821</v>
      </c>
      <c r="Z30" s="44">
        <v>0</v>
      </c>
      <c r="AA30" s="44">
        <v>0</v>
      </c>
      <c r="AB30" s="109">
        <v>0</v>
      </c>
      <c r="AC30" s="106">
        <v>23.849999999999909</v>
      </c>
      <c r="AD30" s="244">
        <v>315.25</v>
      </c>
      <c r="AE30" s="243">
        <f t="shared" si="11"/>
        <v>4274.84</v>
      </c>
      <c r="AF30" s="240">
        <v>16.649999999999999</v>
      </c>
      <c r="AG30" s="7">
        <v>315.25</v>
      </c>
      <c r="AH30" s="7">
        <f t="shared" si="12"/>
        <v>4254.78</v>
      </c>
      <c r="AI30" s="256">
        <v>315.25</v>
      </c>
      <c r="AJ30" s="256"/>
      <c r="AK30" s="256">
        <v>315.25</v>
      </c>
      <c r="AL30" s="208">
        <v>361098</v>
      </c>
      <c r="AM30" s="90">
        <f t="shared" si="4"/>
        <v>3471</v>
      </c>
      <c r="AN30" s="219">
        <v>49038</v>
      </c>
      <c r="AO30" s="76">
        <f t="shared" si="2"/>
        <v>693</v>
      </c>
      <c r="AP30" s="90"/>
      <c r="AQ30" s="90"/>
      <c r="AR30" s="76">
        <v>85800</v>
      </c>
      <c r="AS30" s="227">
        <f t="shared" si="5"/>
        <v>0</v>
      </c>
      <c r="AT30" s="76">
        <v>88261</v>
      </c>
      <c r="AU30" s="227">
        <f t="shared" si="6"/>
        <v>0</v>
      </c>
      <c r="AV30" s="49">
        <f t="shared" si="17"/>
        <v>0</v>
      </c>
      <c r="AW30" s="17">
        <v>2</v>
      </c>
    </row>
    <row r="31" spans="2:53" x14ac:dyDescent="0.25">
      <c r="B31" s="8">
        <f t="shared" si="7"/>
        <v>44829</v>
      </c>
      <c r="C31" s="42" t="str">
        <f t="shared" si="1"/>
        <v>Sun</v>
      </c>
      <c r="D31" s="118">
        <v>0.83</v>
      </c>
      <c r="E31" s="118">
        <v>0.32</v>
      </c>
      <c r="F31" s="122">
        <v>0.83</v>
      </c>
      <c r="G31" s="143">
        <v>16533</v>
      </c>
      <c r="H31" s="155">
        <v>0.55400000000000005</v>
      </c>
      <c r="I31" s="97"/>
      <c r="J31" s="22">
        <f t="shared" si="15"/>
        <v>0</v>
      </c>
      <c r="K31" s="201">
        <v>2303976</v>
      </c>
      <c r="L31" s="127">
        <v>1373</v>
      </c>
      <c r="M31" s="26"/>
      <c r="N31" s="26"/>
      <c r="O31" s="22"/>
      <c r="P31" s="22">
        <v>85800</v>
      </c>
      <c r="Q31" s="21">
        <f t="shared" si="8"/>
        <v>0</v>
      </c>
      <c r="R31" s="22">
        <v>88304</v>
      </c>
      <c r="S31" s="21">
        <f t="shared" si="3"/>
        <v>43</v>
      </c>
      <c r="T31" s="109">
        <v>0</v>
      </c>
      <c r="U31" s="109">
        <v>0</v>
      </c>
      <c r="V31" s="107">
        <f t="shared" si="16"/>
        <v>0</v>
      </c>
      <c r="W31" s="109">
        <v>0</v>
      </c>
      <c r="X31" s="103">
        <v>11340</v>
      </c>
      <c r="Y31" s="49">
        <f t="shared" si="0"/>
        <v>11340</v>
      </c>
      <c r="Z31" s="44">
        <v>0</v>
      </c>
      <c r="AA31" s="44">
        <v>0</v>
      </c>
      <c r="AB31" s="109">
        <v>0</v>
      </c>
      <c r="AC31" s="106">
        <v>10.130000000000109</v>
      </c>
      <c r="AD31" s="247">
        <v>0</v>
      </c>
      <c r="AE31" s="243">
        <f t="shared" si="11"/>
        <v>4274.84</v>
      </c>
      <c r="AF31" s="240"/>
      <c r="AG31" s="7">
        <v>0</v>
      </c>
      <c r="AH31" s="7">
        <f t="shared" si="12"/>
        <v>4254.78</v>
      </c>
      <c r="AI31" s="256">
        <v>0</v>
      </c>
      <c r="AJ31" s="256"/>
      <c r="AK31" s="256">
        <v>0</v>
      </c>
      <c r="AL31" s="208">
        <v>363063</v>
      </c>
      <c r="AM31" s="90">
        <f t="shared" si="4"/>
        <v>1965</v>
      </c>
      <c r="AN31" s="219">
        <v>49167</v>
      </c>
      <c r="AO31" s="76">
        <f t="shared" si="2"/>
        <v>129</v>
      </c>
      <c r="AP31" s="90"/>
      <c r="AQ31" s="90"/>
      <c r="AR31" s="76">
        <v>85800</v>
      </c>
      <c r="AS31" s="227">
        <f t="shared" si="5"/>
        <v>0</v>
      </c>
      <c r="AT31" s="76">
        <v>88304</v>
      </c>
      <c r="AU31" s="227">
        <f t="shared" si="6"/>
        <v>43</v>
      </c>
      <c r="AV31" s="49">
        <f>AS31+AU31</f>
        <v>43</v>
      </c>
      <c r="AW31" s="17" t="s">
        <v>54</v>
      </c>
    </row>
    <row r="32" spans="2:53" x14ac:dyDescent="0.25">
      <c r="B32" s="8">
        <f t="shared" si="7"/>
        <v>44830</v>
      </c>
      <c r="C32" s="42" t="str">
        <f t="shared" si="1"/>
        <v>Mon</v>
      </c>
      <c r="D32" s="118">
        <v>0.74</v>
      </c>
      <c r="E32" s="118">
        <v>0.61</v>
      </c>
      <c r="F32" s="122">
        <v>0.81</v>
      </c>
      <c r="G32" s="143">
        <v>18036</v>
      </c>
      <c r="H32" s="155">
        <v>0.55500000000000005</v>
      </c>
      <c r="I32" s="97"/>
      <c r="J32" s="22">
        <f t="shared" si="15"/>
        <v>0</v>
      </c>
      <c r="K32" s="201">
        <v>2315301</v>
      </c>
      <c r="L32" s="127">
        <v>11325</v>
      </c>
      <c r="M32" s="26"/>
      <c r="N32" s="26"/>
      <c r="O32" s="22"/>
      <c r="P32" s="22">
        <v>85800</v>
      </c>
      <c r="Q32" s="21">
        <f t="shared" si="8"/>
        <v>0</v>
      </c>
      <c r="R32" s="22">
        <v>88400</v>
      </c>
      <c r="S32" s="261">
        <f t="shared" si="3"/>
        <v>96</v>
      </c>
      <c r="T32" s="109">
        <v>0</v>
      </c>
      <c r="U32" s="109">
        <v>0</v>
      </c>
      <c r="V32" s="107">
        <f t="shared" si="16"/>
        <v>0</v>
      </c>
      <c r="W32" s="109">
        <v>0</v>
      </c>
      <c r="X32" s="103">
        <v>13131</v>
      </c>
      <c r="Y32" s="49">
        <f t="shared" si="0"/>
        <v>13131</v>
      </c>
      <c r="Z32" s="44">
        <v>0</v>
      </c>
      <c r="AA32" s="44">
        <v>0</v>
      </c>
      <c r="AB32" s="109">
        <v>0</v>
      </c>
      <c r="AC32" s="106">
        <v>14.470000000000255</v>
      </c>
      <c r="AD32" s="247">
        <v>131.63</v>
      </c>
      <c r="AE32" s="243">
        <f t="shared" si="11"/>
        <v>4406.47</v>
      </c>
      <c r="AF32" s="240"/>
      <c r="AG32" s="7">
        <v>135.63</v>
      </c>
      <c r="AH32" s="7">
        <f t="shared" si="12"/>
        <v>4390.41</v>
      </c>
      <c r="AI32" s="256">
        <v>135.63</v>
      </c>
      <c r="AJ32" s="256"/>
      <c r="AK32" s="256">
        <v>135.63</v>
      </c>
      <c r="AL32" s="208">
        <v>365370</v>
      </c>
      <c r="AM32" s="90">
        <f t="shared" si="4"/>
        <v>2307</v>
      </c>
      <c r="AN32" s="219">
        <v>49483</v>
      </c>
      <c r="AO32" s="76">
        <f t="shared" si="2"/>
        <v>316</v>
      </c>
      <c r="AP32" s="90"/>
      <c r="AQ32" s="90"/>
      <c r="AR32" s="76">
        <v>85800</v>
      </c>
      <c r="AS32" s="227">
        <f t="shared" si="5"/>
        <v>0</v>
      </c>
      <c r="AT32" s="76">
        <v>88400</v>
      </c>
      <c r="AU32" s="261">
        <f t="shared" si="6"/>
        <v>96</v>
      </c>
      <c r="AV32" s="49"/>
      <c r="AW32" s="17" t="s">
        <v>72</v>
      </c>
    </row>
    <row r="33" spans="2:49" x14ac:dyDescent="0.25">
      <c r="B33" s="8">
        <f t="shared" si="7"/>
        <v>44831</v>
      </c>
      <c r="C33" s="42" t="str">
        <f t="shared" si="1"/>
        <v>Tue</v>
      </c>
      <c r="D33" s="118">
        <v>0.82</v>
      </c>
      <c r="E33" s="118">
        <v>0.49</v>
      </c>
      <c r="F33" s="122">
        <v>0.88</v>
      </c>
      <c r="G33" s="143">
        <v>18286.5</v>
      </c>
      <c r="H33" s="155">
        <v>0.55600000000000005</v>
      </c>
      <c r="I33" s="97"/>
      <c r="J33" s="22">
        <f t="shared" si="15"/>
        <v>0</v>
      </c>
      <c r="K33" s="200">
        <v>2336405</v>
      </c>
      <c r="L33" s="127">
        <v>21104</v>
      </c>
      <c r="M33" s="26"/>
      <c r="N33" s="26"/>
      <c r="O33" s="22"/>
      <c r="P33" s="22">
        <v>85800</v>
      </c>
      <c r="Q33" s="21">
        <f t="shared" si="8"/>
        <v>0</v>
      </c>
      <c r="R33" s="22">
        <v>88400</v>
      </c>
      <c r="S33" s="21">
        <f t="shared" si="3"/>
        <v>0</v>
      </c>
      <c r="T33" s="109">
        <v>0</v>
      </c>
      <c r="U33" s="109">
        <v>0</v>
      </c>
      <c r="V33" s="107">
        <f t="shared" si="16"/>
        <v>0</v>
      </c>
      <c r="W33" s="109">
        <v>0</v>
      </c>
      <c r="X33" s="103">
        <v>20671</v>
      </c>
      <c r="Y33" s="49">
        <f t="shared" si="0"/>
        <v>20671</v>
      </c>
      <c r="Z33" s="44">
        <v>0</v>
      </c>
      <c r="AA33" s="44">
        <v>0</v>
      </c>
      <c r="AB33" s="109">
        <v>0</v>
      </c>
      <c r="AC33" s="106">
        <v>23.519999999999982</v>
      </c>
      <c r="AD33" s="247">
        <v>284.14</v>
      </c>
      <c r="AE33" s="243">
        <f t="shared" si="11"/>
        <v>4690.6100000000006</v>
      </c>
      <c r="AF33" s="240">
        <v>14.44</v>
      </c>
      <c r="AG33" s="7">
        <v>284.14</v>
      </c>
      <c r="AH33" s="7">
        <f t="shared" si="12"/>
        <v>4674.55</v>
      </c>
      <c r="AI33" s="256">
        <v>284.14</v>
      </c>
      <c r="AJ33" s="256">
        <v>3.798</v>
      </c>
      <c r="AK33" s="256">
        <v>287.93799999999999</v>
      </c>
      <c r="AL33" s="208">
        <v>368738</v>
      </c>
      <c r="AM33" s="90">
        <f t="shared" si="4"/>
        <v>3368</v>
      </c>
      <c r="AN33" s="219">
        <v>50062</v>
      </c>
      <c r="AO33" s="76">
        <f t="shared" si="2"/>
        <v>579</v>
      </c>
      <c r="AP33" s="90"/>
      <c r="AQ33" s="90"/>
      <c r="AR33" s="76">
        <v>85800</v>
      </c>
      <c r="AS33" s="227">
        <f t="shared" si="5"/>
        <v>0</v>
      </c>
      <c r="AT33" s="76">
        <v>88400</v>
      </c>
      <c r="AU33" s="227">
        <f t="shared" si="6"/>
        <v>0</v>
      </c>
      <c r="AV33" s="49"/>
      <c r="AW33" s="17">
        <v>2</v>
      </c>
    </row>
    <row r="34" spans="2:49" ht="15" x14ac:dyDescent="0.25">
      <c r="B34" s="8">
        <f t="shared" si="7"/>
        <v>44832</v>
      </c>
      <c r="C34" s="42" t="str">
        <f t="shared" si="1"/>
        <v>Wed</v>
      </c>
      <c r="D34" s="156">
        <v>0.64</v>
      </c>
      <c r="E34" s="156">
        <v>0.74</v>
      </c>
      <c r="F34" s="157">
        <v>0.78</v>
      </c>
      <c r="G34" s="143">
        <v>18036</v>
      </c>
      <c r="H34" s="155">
        <v>0.55500000000000005</v>
      </c>
      <c r="I34" s="97"/>
      <c r="J34" s="22">
        <f t="shared" si="15"/>
        <v>0</v>
      </c>
      <c r="K34" s="200">
        <v>2359611</v>
      </c>
      <c r="L34" s="127">
        <v>23206</v>
      </c>
      <c r="M34" s="24"/>
      <c r="N34" s="24"/>
      <c r="O34" s="22"/>
      <c r="P34" s="22">
        <v>85800</v>
      </c>
      <c r="Q34" s="21">
        <f t="shared" si="8"/>
        <v>0</v>
      </c>
      <c r="R34" s="22">
        <v>88400</v>
      </c>
      <c r="S34" s="21">
        <f t="shared" si="3"/>
        <v>0</v>
      </c>
      <c r="T34" s="109">
        <v>0</v>
      </c>
      <c r="U34" s="109">
        <v>0</v>
      </c>
      <c r="V34" s="107">
        <f t="shared" si="16"/>
        <v>0</v>
      </c>
      <c r="W34" s="109">
        <v>0</v>
      </c>
      <c r="X34" s="103">
        <v>23206</v>
      </c>
      <c r="Y34" s="49">
        <f t="shared" si="0"/>
        <v>23206</v>
      </c>
      <c r="Z34" s="44">
        <v>0</v>
      </c>
      <c r="AA34" s="44">
        <v>0</v>
      </c>
      <c r="AB34" s="109">
        <v>0</v>
      </c>
      <c r="AC34" s="106">
        <v>23.569999999999709</v>
      </c>
      <c r="AD34" s="248">
        <v>297.99</v>
      </c>
      <c r="AE34" s="243">
        <f t="shared" si="11"/>
        <v>4988.6000000000004</v>
      </c>
      <c r="AF34" s="240">
        <v>16.02</v>
      </c>
      <c r="AG34" s="7">
        <v>297.99</v>
      </c>
      <c r="AH34" s="7">
        <f t="shared" si="12"/>
        <v>4972.54</v>
      </c>
      <c r="AI34" s="256">
        <v>297.99</v>
      </c>
      <c r="AJ34" s="256"/>
      <c r="AK34" s="256">
        <v>297.99</v>
      </c>
      <c r="AL34" s="208">
        <v>372212</v>
      </c>
      <c r="AM34" s="90">
        <f t="shared" si="4"/>
        <v>3474</v>
      </c>
      <c r="AN34" s="219">
        <v>50607</v>
      </c>
      <c r="AO34" s="76">
        <f t="shared" si="2"/>
        <v>545</v>
      </c>
      <c r="AP34" s="90"/>
      <c r="AQ34" s="90"/>
      <c r="AR34" s="76">
        <v>85800</v>
      </c>
      <c r="AS34" s="227">
        <f t="shared" si="5"/>
        <v>0</v>
      </c>
      <c r="AT34" s="76">
        <v>88400</v>
      </c>
      <c r="AU34" s="227">
        <f t="shared" si="6"/>
        <v>0</v>
      </c>
      <c r="AV34" s="49">
        <f>AS34+AU34</f>
        <v>0</v>
      </c>
      <c r="AW34" s="17">
        <v>2</v>
      </c>
    </row>
    <row r="35" spans="2:49" ht="15" x14ac:dyDescent="0.25">
      <c r="B35" s="8">
        <f t="shared" si="7"/>
        <v>44833</v>
      </c>
      <c r="C35" s="42" t="str">
        <f t="shared" si="1"/>
        <v>Thu</v>
      </c>
      <c r="D35" s="118">
        <v>0.62</v>
      </c>
      <c r="E35" s="118">
        <v>0.72</v>
      </c>
      <c r="F35" s="122">
        <v>0.66</v>
      </c>
      <c r="G35" s="143">
        <v>16700</v>
      </c>
      <c r="H35" s="155">
        <v>0.55700000000000005</v>
      </c>
      <c r="I35" s="97"/>
      <c r="J35" s="22">
        <f t="shared" si="15"/>
        <v>0</v>
      </c>
      <c r="K35" s="200">
        <v>2382636</v>
      </c>
      <c r="L35" s="127">
        <v>23025</v>
      </c>
      <c r="M35" s="24"/>
      <c r="N35" s="24"/>
      <c r="O35" s="22"/>
      <c r="P35" s="22">
        <v>85800</v>
      </c>
      <c r="Q35" s="21">
        <f t="shared" si="8"/>
        <v>0</v>
      </c>
      <c r="R35" s="22">
        <v>88400</v>
      </c>
      <c r="S35" s="21">
        <f t="shared" si="3"/>
        <v>0</v>
      </c>
      <c r="T35" s="109">
        <v>0</v>
      </c>
      <c r="U35" s="109">
        <v>0</v>
      </c>
      <c r="V35" s="108">
        <f t="shared" si="16"/>
        <v>0</v>
      </c>
      <c r="W35" s="109">
        <v>0</v>
      </c>
      <c r="X35" s="77">
        <v>23025</v>
      </c>
      <c r="Y35" s="49">
        <f t="shared" si="0"/>
        <v>23025</v>
      </c>
      <c r="Z35" s="44">
        <v>0</v>
      </c>
      <c r="AA35" s="44">
        <v>0</v>
      </c>
      <c r="AB35" s="109">
        <v>0</v>
      </c>
      <c r="AC35" s="106">
        <v>23.880000000000109</v>
      </c>
      <c r="AD35" s="248">
        <v>277.55</v>
      </c>
      <c r="AE35" s="243">
        <f t="shared" si="11"/>
        <v>5266.1500000000005</v>
      </c>
      <c r="AF35" s="241">
        <v>16.82</v>
      </c>
      <c r="AG35" s="7">
        <v>277.55</v>
      </c>
      <c r="AH35" s="7">
        <f t="shared" si="12"/>
        <v>5250.09</v>
      </c>
      <c r="AI35" s="256">
        <v>277.55</v>
      </c>
      <c r="AJ35" s="256"/>
      <c r="AK35" s="256">
        <v>277.55</v>
      </c>
      <c r="AL35" s="208">
        <v>375722</v>
      </c>
      <c r="AM35" s="90">
        <f t="shared" si="4"/>
        <v>3510</v>
      </c>
      <c r="AN35" s="219">
        <v>51240</v>
      </c>
      <c r="AO35" s="76">
        <f t="shared" si="2"/>
        <v>633</v>
      </c>
      <c r="AP35" s="90"/>
      <c r="AQ35" s="90"/>
      <c r="AR35" s="76">
        <v>85800</v>
      </c>
      <c r="AS35" s="227">
        <f t="shared" si="5"/>
        <v>0</v>
      </c>
      <c r="AT35" s="76">
        <v>88400</v>
      </c>
      <c r="AU35" s="227">
        <f t="shared" si="6"/>
        <v>0</v>
      </c>
      <c r="AV35" s="49">
        <f>AS35+AU35</f>
        <v>0</v>
      </c>
      <c r="AW35" s="17">
        <v>2</v>
      </c>
    </row>
    <row r="36" spans="2:49" x14ac:dyDescent="0.25">
      <c r="B36" s="8">
        <f t="shared" si="7"/>
        <v>44834</v>
      </c>
      <c r="C36" s="42" t="str">
        <f t="shared" si="1"/>
        <v>Fri</v>
      </c>
      <c r="D36" s="118">
        <v>0.53</v>
      </c>
      <c r="E36" s="118">
        <v>0.68</v>
      </c>
      <c r="F36" s="122">
        <v>0.6</v>
      </c>
      <c r="G36" s="143">
        <v>15113.5</v>
      </c>
      <c r="H36" s="155">
        <v>0.55700000000000005</v>
      </c>
      <c r="I36" s="97"/>
      <c r="J36" s="22">
        <f t="shared" si="15"/>
        <v>0</v>
      </c>
      <c r="K36" s="200">
        <v>2407236</v>
      </c>
      <c r="L36" s="127">
        <v>24600</v>
      </c>
      <c r="M36" s="26"/>
      <c r="N36" s="26"/>
      <c r="O36" s="22"/>
      <c r="P36" s="22">
        <v>85800</v>
      </c>
      <c r="Q36" s="21">
        <f t="shared" si="8"/>
        <v>0</v>
      </c>
      <c r="R36" s="22">
        <v>88400</v>
      </c>
      <c r="S36" s="21">
        <f t="shared" si="3"/>
        <v>0</v>
      </c>
      <c r="T36" s="109">
        <v>0</v>
      </c>
      <c r="U36" s="109">
        <v>0</v>
      </c>
      <c r="V36" s="108">
        <f t="shared" si="16"/>
        <v>0</v>
      </c>
      <c r="W36" s="109">
        <v>0</v>
      </c>
      <c r="X36" s="77">
        <v>24600</v>
      </c>
      <c r="Y36" s="49">
        <f t="shared" si="0"/>
        <v>24600</v>
      </c>
      <c r="Z36" s="44">
        <v>0</v>
      </c>
      <c r="AA36" s="44">
        <v>0</v>
      </c>
      <c r="AB36" s="109">
        <v>0</v>
      </c>
      <c r="AC36" s="106">
        <v>24.119999999999891</v>
      </c>
      <c r="AD36" s="247">
        <v>311.14999999999998</v>
      </c>
      <c r="AE36" s="243">
        <f t="shared" si="11"/>
        <v>5577.3</v>
      </c>
      <c r="AF36" s="240">
        <v>14.08</v>
      </c>
      <c r="AG36" s="7">
        <v>311.51</v>
      </c>
      <c r="AH36" s="7">
        <f t="shared" si="12"/>
        <v>5561.6</v>
      </c>
      <c r="AI36" s="256">
        <v>311.51</v>
      </c>
      <c r="AJ36" s="256"/>
      <c r="AK36" s="256">
        <v>311.51</v>
      </c>
      <c r="AL36" s="208">
        <v>378904</v>
      </c>
      <c r="AM36" s="90">
        <f t="shared" si="4"/>
        <v>3182</v>
      </c>
      <c r="AN36" s="219">
        <v>51642</v>
      </c>
      <c r="AO36" s="76">
        <f t="shared" si="2"/>
        <v>402</v>
      </c>
      <c r="AP36" s="90"/>
      <c r="AQ36" s="90"/>
      <c r="AR36" s="76">
        <v>85800</v>
      </c>
      <c r="AS36" s="227">
        <f t="shared" si="5"/>
        <v>0</v>
      </c>
      <c r="AT36" s="76">
        <v>88400</v>
      </c>
      <c r="AU36" s="227">
        <f t="shared" si="6"/>
        <v>0</v>
      </c>
      <c r="AV36" s="49">
        <f>AS36+AU36</f>
        <v>0</v>
      </c>
      <c r="AW36" s="17">
        <v>2</v>
      </c>
    </row>
    <row r="37" spans="2:49" x14ac:dyDescent="0.25">
      <c r="B37" s="8"/>
      <c r="C37" s="42"/>
      <c r="D37" s="93"/>
      <c r="E37" s="93"/>
      <c r="F37" s="93"/>
      <c r="G37" s="19"/>
      <c r="H37" s="96"/>
      <c r="I37" s="97"/>
      <c r="J37" s="22">
        <f t="shared" si="15"/>
        <v>0</v>
      </c>
      <c r="K37" s="97"/>
      <c r="L37" s="22"/>
      <c r="M37" s="26"/>
      <c r="N37" s="26"/>
      <c r="O37" s="22"/>
      <c r="P37" s="22"/>
      <c r="Q37" s="21"/>
      <c r="R37" s="22"/>
      <c r="S37" s="21"/>
      <c r="T37" s="109">
        <v>0</v>
      </c>
      <c r="U37" s="109">
        <v>0</v>
      </c>
      <c r="V37" s="108">
        <f t="shared" si="16"/>
        <v>0</v>
      </c>
      <c r="W37" s="109">
        <v>0</v>
      </c>
      <c r="X37" s="77"/>
      <c r="Y37" s="49">
        <f t="shared" si="0"/>
        <v>0</v>
      </c>
      <c r="Z37" s="44">
        <v>0</v>
      </c>
      <c r="AA37" s="44">
        <v>0</v>
      </c>
      <c r="AB37" s="109">
        <v>0</v>
      </c>
      <c r="AC37" s="106"/>
      <c r="AD37" s="247"/>
      <c r="AE37" s="243"/>
      <c r="AF37" s="92"/>
      <c r="AG37" s="7"/>
      <c r="AH37" s="7"/>
      <c r="AI37" s="257"/>
      <c r="AJ37" s="257"/>
      <c r="AK37" s="257">
        <v>0</v>
      </c>
      <c r="AL37" s="98"/>
      <c r="AM37" s="90"/>
      <c r="AN37" s="98"/>
      <c r="AO37" s="90"/>
      <c r="AP37" s="90"/>
      <c r="AQ37" s="90"/>
      <c r="AR37" s="76"/>
      <c r="AS37" s="227"/>
      <c r="AT37" s="76"/>
      <c r="AU37" s="227"/>
      <c r="AV37" s="49"/>
      <c r="AW37" s="17">
        <v>2</v>
      </c>
    </row>
    <row r="38" spans="2:49" x14ac:dyDescent="0.25">
      <c r="B38" s="14" t="s">
        <v>48</v>
      </c>
      <c r="C38" s="14"/>
      <c r="D38" s="69">
        <f>AVERAGE(D7:D37)</f>
        <v>0.64933333333333332</v>
      </c>
      <c r="E38" s="69"/>
      <c r="F38" s="69">
        <f>AVERAGE(F7:F37)</f>
        <v>0.6123333333333334</v>
      </c>
      <c r="G38" s="65">
        <f>AVERAGE(G7:G37)</f>
        <v>14982.683333333332</v>
      </c>
      <c r="H38" s="69">
        <f>AVERAGE(H7:H37)</f>
        <v>0.56236666666666657</v>
      </c>
      <c r="I38" s="67"/>
      <c r="J38" s="65">
        <f>SUMIFS(J7:J37,J7:J37,"&gt;0")</f>
        <v>0</v>
      </c>
      <c r="K38" s="67"/>
      <c r="L38" s="137">
        <f>SUMIFS(L7:L37,L7:L37,"&gt;0")</f>
        <v>492659</v>
      </c>
      <c r="M38" s="67"/>
      <c r="N38" s="67"/>
      <c r="O38" s="65">
        <f>SUM(O7:O37)</f>
        <v>0</v>
      </c>
      <c r="P38" s="67"/>
      <c r="Q38" s="65">
        <f>SUMIFS(Q7:Q36,Q7:Q36,"&gt;0")</f>
        <v>82469</v>
      </c>
      <c r="R38" s="67"/>
      <c r="S38" s="65">
        <f>SUMIFS(S7:S37,S7:S37,"&gt;0")</f>
        <v>9274</v>
      </c>
      <c r="T38" s="65">
        <f t="shared" ref="T38:AC38" si="18">SUM(T7:T37)</f>
        <v>2997</v>
      </c>
      <c r="U38" s="65">
        <f t="shared" si="18"/>
        <v>0</v>
      </c>
      <c r="V38" s="65">
        <f t="shared" si="18"/>
        <v>2997</v>
      </c>
      <c r="W38" s="65"/>
      <c r="X38" s="65"/>
      <c r="Y38" s="137">
        <f t="shared" si="18"/>
        <v>492659</v>
      </c>
      <c r="Z38" s="65">
        <f t="shared" si="18"/>
        <v>0</v>
      </c>
      <c r="AA38" s="65">
        <f t="shared" si="18"/>
        <v>0</v>
      </c>
      <c r="AB38" s="65">
        <f t="shared" si="18"/>
        <v>0</v>
      </c>
      <c r="AC38" s="65">
        <f t="shared" si="18"/>
        <v>531.79999999999995</v>
      </c>
      <c r="AD38" s="99">
        <f>SUM(AD7:AD36)</f>
        <v>5577.3</v>
      </c>
      <c r="AE38" s="11"/>
      <c r="AF38" s="258">
        <f>AVERAGE(AF7:AF36)</f>
        <v>15.629500000000002</v>
      </c>
      <c r="AG38" s="65">
        <f>SUM(AG7:AG37)</f>
        <v>5561.6</v>
      </c>
      <c r="AH38" s="68"/>
      <c r="AI38" s="68">
        <v>5561.6</v>
      </c>
      <c r="AJ38" s="68">
        <v>13.673999999999999</v>
      </c>
      <c r="AK38" s="68">
        <v>5575.2740000000003</v>
      </c>
      <c r="AL38" s="66"/>
      <c r="AM38" s="65">
        <f>SUM(AM7:AM37)</f>
        <v>85566</v>
      </c>
      <c r="AN38" s="99"/>
      <c r="AO38" s="65">
        <f>SUM(AO7:AO37)</f>
        <v>17781</v>
      </c>
      <c r="AP38" s="65"/>
      <c r="AQ38" s="65"/>
      <c r="AR38" s="67"/>
      <c r="AS38" s="65">
        <f>SUMIFS(AS7:AS36,AS7:AS36,"&gt;0")</f>
        <v>82469</v>
      </c>
      <c r="AT38" s="67"/>
      <c r="AU38" s="65">
        <f>SUMIFS(AU7:AU37,AU7:AU37,"&gt;0")</f>
        <v>9274</v>
      </c>
      <c r="AV38" s="65">
        <f>SUM(AV7:AV36)</f>
        <v>91647</v>
      </c>
      <c r="AW38" s="5"/>
    </row>
    <row r="39" spans="2:49" x14ac:dyDescent="0.25">
      <c r="J39" s="72"/>
      <c r="L39" s="72"/>
      <c r="S39" s="63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236"/>
      <c r="AE39" s="63"/>
      <c r="AG39" s="63"/>
      <c r="AH39" s="63"/>
      <c r="AI39" s="63"/>
      <c r="AJ39" s="63"/>
      <c r="AK39" s="63"/>
      <c r="AO39" s="63"/>
      <c r="AP39" s="63"/>
      <c r="AQ39" s="63"/>
      <c r="AU39" s="63"/>
      <c r="AV39" s="63"/>
    </row>
    <row r="40" spans="2:49" x14ac:dyDescent="0.25">
      <c r="G40" s="81"/>
      <c r="I40" s="88"/>
      <c r="J40" s="87"/>
      <c r="K40" s="88"/>
      <c r="L40" s="87"/>
      <c r="O40" s="89"/>
      <c r="P40" s="89"/>
      <c r="Q40" s="89"/>
      <c r="S40" s="91"/>
      <c r="AD40" s="237"/>
      <c r="AF40" s="85"/>
      <c r="AG40" s="74"/>
      <c r="AL40" s="85"/>
      <c r="AM40" s="85"/>
      <c r="AN40" s="85"/>
      <c r="AO40" s="73"/>
      <c r="AP40" s="73"/>
      <c r="AQ40" s="73"/>
      <c r="AR40" s="89"/>
      <c r="AS40" s="89"/>
      <c r="AU40" s="91"/>
      <c r="AV40" s="91"/>
    </row>
    <row r="41" spans="2:49" x14ac:dyDescent="0.25">
      <c r="C41" s="16"/>
      <c r="J41" s="80"/>
      <c r="L41" s="80"/>
      <c r="Q41" s="1" t="s">
        <v>73</v>
      </c>
      <c r="R41" s="88"/>
      <c r="AF41" s="86"/>
      <c r="AH41" s="63"/>
      <c r="AL41" s="86"/>
      <c r="AM41" s="86"/>
      <c r="AN41" s="86"/>
      <c r="AO41" s="73"/>
      <c r="AP41" s="73"/>
      <c r="AQ41" s="73"/>
      <c r="AT41" s="88"/>
    </row>
    <row r="42" spans="2:49" x14ac:dyDescent="0.25">
      <c r="Q42" s="1" t="s">
        <v>74</v>
      </c>
      <c r="R42" s="63">
        <f>Q38+S38-S32</f>
        <v>91647</v>
      </c>
      <c r="S42" s="63"/>
      <c r="AO42" s="63"/>
      <c r="AP42" s="63"/>
      <c r="AQ42" s="63"/>
    </row>
    <row r="43" spans="2:49" x14ac:dyDescent="0.25">
      <c r="Q43" s="1" t="s">
        <v>75</v>
      </c>
      <c r="R43" s="63">
        <f>AV38</f>
        <v>91647</v>
      </c>
    </row>
    <row r="44" spans="2:49" x14ac:dyDescent="0.25">
      <c r="Q44" s="1" t="s">
        <v>76</v>
      </c>
      <c r="R44" s="1">
        <f>ABS(R42-R43)</f>
        <v>0</v>
      </c>
    </row>
    <row r="45" spans="2:49" x14ac:dyDescent="0.25">
      <c r="Q45" s="1" t="s">
        <v>77</v>
      </c>
      <c r="R45" s="73">
        <v>91647</v>
      </c>
    </row>
  </sheetData>
  <mergeCells count="30">
    <mergeCell ref="P4:Q5"/>
    <mergeCell ref="AR5:AS5"/>
    <mergeCell ref="AT5:AU5"/>
    <mergeCell ref="AL3:AV4"/>
    <mergeCell ref="AN5:AO5"/>
    <mergeCell ref="AP5:AQ5"/>
    <mergeCell ref="AD5:AE5"/>
    <mergeCell ref="AG4:AH4"/>
    <mergeCell ref="AG3:AH3"/>
    <mergeCell ref="B3:AC3"/>
    <mergeCell ref="AD3:AF3"/>
    <mergeCell ref="AD4:AF4"/>
    <mergeCell ref="AI4:AK4"/>
    <mergeCell ref="AI3:AK3"/>
    <mergeCell ref="AW3:AW6"/>
    <mergeCell ref="B4:B6"/>
    <mergeCell ref="C4:C6"/>
    <mergeCell ref="D4:G4"/>
    <mergeCell ref="I4:L4"/>
    <mergeCell ref="M4:O4"/>
    <mergeCell ref="R4:S5"/>
    <mergeCell ref="I5:J5"/>
    <mergeCell ref="K5:L5"/>
    <mergeCell ref="M5:N5"/>
    <mergeCell ref="AG5:AH5"/>
    <mergeCell ref="AL5:AM5"/>
    <mergeCell ref="T4:V4"/>
    <mergeCell ref="W4:Y4"/>
    <mergeCell ref="Z4:AA4"/>
    <mergeCell ref="AB4:AC4"/>
  </mergeCells>
  <pageMargins left="0" right="0" top="0.35433070866141736" bottom="0" header="0.31496062992125984" footer="0.31496062992125984"/>
  <pageSetup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AZ45"/>
  <sheetViews>
    <sheetView showGridLines="0" topLeftCell="I3" zoomScale="70" zoomScaleNormal="70" zoomScaleSheetLayoutView="70" workbookViewId="0">
      <selection activeCell="B41" sqref="B41:E42"/>
    </sheetView>
  </sheetViews>
  <sheetFormatPr defaultColWidth="9.109375" defaultRowHeight="13.8" x14ac:dyDescent="0.25"/>
  <cols>
    <col min="1" max="1" width="4.5546875" style="1" customWidth="1"/>
    <col min="2" max="2" width="22.5546875" style="2" customWidth="1"/>
    <col min="3" max="3" width="10.44140625" style="2" bestFit="1" customWidth="1"/>
    <col min="4" max="5" width="10.44140625" style="2" customWidth="1"/>
    <col min="6" max="6" width="10" style="2" customWidth="1"/>
    <col min="7" max="7" width="11" style="2" customWidth="1"/>
    <col min="8" max="8" width="11.44140625" style="2" customWidth="1"/>
    <col min="9" max="9" width="12.44140625" style="1" customWidth="1"/>
    <col min="10" max="10" width="13" style="1" customWidth="1"/>
    <col min="11" max="11" width="12.44140625" style="1" customWidth="1"/>
    <col min="12" max="12" width="13" style="1" customWidth="1"/>
    <col min="13" max="13" width="10.88671875" style="1" bestFit="1" customWidth="1"/>
    <col min="14" max="14" width="10.88671875" style="1" customWidth="1"/>
    <col min="15" max="19" width="11.44140625" style="1" customWidth="1"/>
    <col min="20" max="20" width="12.44140625" style="3" customWidth="1"/>
    <col min="21" max="21" width="11.109375" style="3" customWidth="1"/>
    <col min="22" max="22" width="12.44140625" style="3" bestFit="1" customWidth="1"/>
    <col min="23" max="25" width="12.44140625" style="3" customWidth="1"/>
    <col min="26" max="26" width="11.5546875" style="3" customWidth="1"/>
    <col min="27" max="27" width="11.109375" style="3" customWidth="1"/>
    <col min="28" max="28" width="11" style="3" customWidth="1"/>
    <col min="29" max="29" width="11.44140625" style="3" customWidth="1"/>
    <col min="30" max="30" width="13.5546875" style="234" customWidth="1"/>
    <col min="31" max="31" width="13.5546875" style="1" customWidth="1"/>
    <col min="32" max="34" width="11.5546875" style="2" customWidth="1"/>
    <col min="35" max="36" width="12.88671875" style="1" customWidth="1"/>
    <col min="37" max="37" width="13.44140625" style="2" customWidth="1"/>
    <col min="38" max="38" width="12.88671875" style="2" customWidth="1"/>
    <col min="39" max="39" width="14.44140625" style="2" customWidth="1"/>
    <col min="40" max="42" width="12.88671875" style="1" customWidth="1"/>
    <col min="43" max="44" width="11.44140625" style="1" customWidth="1"/>
    <col min="45" max="45" width="11.5546875" style="1" customWidth="1"/>
    <col min="46" max="46" width="11.88671875" style="1" customWidth="1"/>
    <col min="47" max="47" width="14.109375" style="1" customWidth="1"/>
    <col min="48" max="48" width="38" style="1" bestFit="1" customWidth="1"/>
    <col min="49" max="49" width="9.109375" style="1"/>
    <col min="50" max="50" width="10.88671875" style="1" bestFit="1" customWidth="1"/>
    <col min="51" max="51" width="12.88671875" style="1" bestFit="1" customWidth="1"/>
    <col min="52" max="16384" width="9.109375" style="1"/>
  </cols>
  <sheetData>
    <row r="2" spans="2:52" x14ac:dyDescent="0.25">
      <c r="B2" s="4" t="s">
        <v>0</v>
      </c>
    </row>
    <row r="3" spans="2:52" ht="31.5" customHeight="1" x14ac:dyDescent="0.25">
      <c r="B3" s="479" t="s">
        <v>1</v>
      </c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  <c r="AA3" s="480"/>
      <c r="AB3" s="480"/>
      <c r="AC3" s="481"/>
      <c r="AD3" s="465" t="s">
        <v>17</v>
      </c>
      <c r="AE3" s="473"/>
      <c r="AF3" s="473"/>
      <c r="AG3" s="466"/>
      <c r="AH3" s="497" t="s">
        <v>78</v>
      </c>
      <c r="AI3" s="485" t="s">
        <v>3</v>
      </c>
      <c r="AJ3" s="486"/>
      <c r="AK3" s="465" t="s">
        <v>4</v>
      </c>
      <c r="AL3" s="473"/>
      <c r="AM3" s="473"/>
      <c r="AN3" s="473"/>
      <c r="AO3" s="473"/>
      <c r="AP3" s="473"/>
      <c r="AQ3" s="225"/>
      <c r="AR3" s="225"/>
      <c r="AS3" s="225"/>
      <c r="AT3" s="225"/>
      <c r="AU3" s="225"/>
      <c r="AV3" s="457" t="s">
        <v>5</v>
      </c>
    </row>
    <row r="4" spans="2:52" ht="16.5" customHeight="1" x14ac:dyDescent="0.25">
      <c r="B4" s="460" t="s">
        <v>6</v>
      </c>
      <c r="C4" s="460" t="s">
        <v>7</v>
      </c>
      <c r="D4" s="461" t="s">
        <v>8</v>
      </c>
      <c r="E4" s="462"/>
      <c r="F4" s="462"/>
      <c r="G4" s="463"/>
      <c r="H4" s="54" t="s">
        <v>9</v>
      </c>
      <c r="I4" s="464"/>
      <c r="J4" s="464"/>
      <c r="K4" s="464"/>
      <c r="L4" s="464"/>
      <c r="M4" s="464" t="s">
        <v>11</v>
      </c>
      <c r="N4" s="464"/>
      <c r="O4" s="464"/>
      <c r="P4" s="465" t="s">
        <v>56</v>
      </c>
      <c r="Q4" s="466"/>
      <c r="R4" s="465" t="s">
        <v>57</v>
      </c>
      <c r="S4" s="466"/>
      <c r="T4" s="469" t="s">
        <v>13</v>
      </c>
      <c r="U4" s="470"/>
      <c r="V4" s="471"/>
      <c r="W4" s="482" t="s">
        <v>14</v>
      </c>
      <c r="X4" s="483"/>
      <c r="Y4" s="484"/>
      <c r="Z4" s="461" t="s">
        <v>15</v>
      </c>
      <c r="AA4" s="463"/>
      <c r="AB4" s="461" t="s">
        <v>16</v>
      </c>
      <c r="AC4" s="463"/>
      <c r="AD4" s="467"/>
      <c r="AE4" s="474"/>
      <c r="AF4" s="474"/>
      <c r="AG4" s="468"/>
      <c r="AH4" s="498"/>
      <c r="AI4" s="477" t="s">
        <v>17</v>
      </c>
      <c r="AJ4" s="478"/>
      <c r="AK4" s="467"/>
      <c r="AL4" s="474"/>
      <c r="AM4" s="474"/>
      <c r="AN4" s="474"/>
      <c r="AO4" s="474"/>
      <c r="AP4" s="474"/>
      <c r="AQ4" s="228"/>
      <c r="AR4" s="228"/>
      <c r="AS4" s="228"/>
      <c r="AT4" s="228"/>
      <c r="AU4" s="228"/>
      <c r="AV4" s="458"/>
    </row>
    <row r="5" spans="2:52" ht="52.5" customHeight="1" x14ac:dyDescent="0.25">
      <c r="B5" s="460"/>
      <c r="C5" s="460"/>
      <c r="D5" s="41" t="s">
        <v>18</v>
      </c>
      <c r="E5" s="41" t="s">
        <v>19</v>
      </c>
      <c r="F5" s="41" t="s">
        <v>20</v>
      </c>
      <c r="G5" s="41" t="s">
        <v>21</v>
      </c>
      <c r="H5" s="43" t="s">
        <v>22</v>
      </c>
      <c r="I5" s="477" t="s">
        <v>68</v>
      </c>
      <c r="J5" s="493"/>
      <c r="K5" s="472" t="s">
        <v>52</v>
      </c>
      <c r="L5" s="472"/>
      <c r="M5" s="460" t="s">
        <v>25</v>
      </c>
      <c r="N5" s="460"/>
      <c r="O5" s="43" t="s">
        <v>26</v>
      </c>
      <c r="P5" s="467"/>
      <c r="Q5" s="468"/>
      <c r="R5" s="467"/>
      <c r="S5" s="468"/>
      <c r="T5" s="82" t="s">
        <v>27</v>
      </c>
      <c r="U5" s="82" t="s">
        <v>24</v>
      </c>
      <c r="V5" s="82" t="s">
        <v>21</v>
      </c>
      <c r="W5" s="34" t="s">
        <v>27</v>
      </c>
      <c r="X5" s="34" t="s">
        <v>24</v>
      </c>
      <c r="Y5" s="36" t="s">
        <v>21</v>
      </c>
      <c r="Z5" s="82" t="s">
        <v>27</v>
      </c>
      <c r="AA5" s="82" t="s">
        <v>24</v>
      </c>
      <c r="AB5" s="82" t="s">
        <v>27</v>
      </c>
      <c r="AC5" s="82" t="s">
        <v>24</v>
      </c>
      <c r="AD5" s="472" t="s">
        <v>28</v>
      </c>
      <c r="AE5" s="472"/>
      <c r="AF5" s="45" t="s">
        <v>29</v>
      </c>
      <c r="AG5" s="281" t="s">
        <v>79</v>
      </c>
      <c r="AH5" s="264" t="s">
        <v>80</v>
      </c>
      <c r="AI5" s="477" t="s">
        <v>28</v>
      </c>
      <c r="AJ5" s="493"/>
      <c r="AK5" s="475" t="s">
        <v>30</v>
      </c>
      <c r="AL5" s="476"/>
      <c r="AM5" s="475" t="s">
        <v>31</v>
      </c>
      <c r="AN5" s="476"/>
      <c r="AO5" s="477" t="s">
        <v>32</v>
      </c>
      <c r="AP5" s="478"/>
      <c r="AQ5" s="477" t="s">
        <v>56</v>
      </c>
      <c r="AR5" s="493"/>
      <c r="AS5" s="477" t="s">
        <v>67</v>
      </c>
      <c r="AT5" s="493"/>
      <c r="AU5" s="226" t="s">
        <v>69</v>
      </c>
      <c r="AV5" s="458"/>
    </row>
    <row r="6" spans="2:52" ht="28.2" x14ac:dyDescent="0.3">
      <c r="B6" s="460"/>
      <c r="C6" s="460"/>
      <c r="D6" s="83">
        <v>8350</v>
      </c>
      <c r="E6" s="83">
        <v>8350</v>
      </c>
      <c r="F6" s="83">
        <v>8350</v>
      </c>
      <c r="G6" s="83">
        <f>D6+E6+F6</f>
        <v>25050</v>
      </c>
      <c r="H6" s="56" t="s">
        <v>33</v>
      </c>
      <c r="I6" s="124" t="s">
        <v>53</v>
      </c>
      <c r="J6" s="17" t="s">
        <v>34</v>
      </c>
      <c r="K6" s="124" t="s">
        <v>53</v>
      </c>
      <c r="L6" s="17" t="s">
        <v>35</v>
      </c>
      <c r="M6" s="40" t="s">
        <v>36</v>
      </c>
      <c r="N6" s="40" t="s">
        <v>37</v>
      </c>
      <c r="O6" s="41" t="s">
        <v>38</v>
      </c>
      <c r="P6" s="17" t="s">
        <v>34</v>
      </c>
      <c r="Q6" s="17" t="s">
        <v>35</v>
      </c>
      <c r="R6" s="17" t="s">
        <v>34</v>
      </c>
      <c r="S6" s="17" t="s">
        <v>35</v>
      </c>
      <c r="T6" s="82" t="s">
        <v>39</v>
      </c>
      <c r="U6" s="82" t="s">
        <v>39</v>
      </c>
      <c r="V6" s="82" t="s">
        <v>39</v>
      </c>
      <c r="W6" s="82"/>
      <c r="X6" s="82"/>
      <c r="Y6" s="82"/>
      <c r="Z6" s="41" t="s">
        <v>40</v>
      </c>
      <c r="AA6" s="41" t="s">
        <v>40</v>
      </c>
      <c r="AB6" s="41" t="s">
        <v>40</v>
      </c>
      <c r="AC6" s="41" t="s">
        <v>40</v>
      </c>
      <c r="AD6" s="280" t="s">
        <v>81</v>
      </c>
      <c r="AE6" s="78" t="s">
        <v>42</v>
      </c>
      <c r="AF6" s="9" t="s">
        <v>43</v>
      </c>
      <c r="AG6" s="265" t="s">
        <v>82</v>
      </c>
      <c r="AH6" s="265"/>
      <c r="AI6" s="17" t="s">
        <v>41</v>
      </c>
      <c r="AJ6" s="78" t="s">
        <v>42</v>
      </c>
      <c r="AK6" s="9" t="s">
        <v>34</v>
      </c>
      <c r="AL6" s="9" t="s">
        <v>44</v>
      </c>
      <c r="AM6" s="9" t="s">
        <v>34</v>
      </c>
      <c r="AN6" s="9" t="s">
        <v>44</v>
      </c>
      <c r="AO6" s="9" t="s">
        <v>34</v>
      </c>
      <c r="AP6" s="9" t="s">
        <v>44</v>
      </c>
      <c r="AQ6" s="17" t="s">
        <v>34</v>
      </c>
      <c r="AR6" s="17" t="s">
        <v>35</v>
      </c>
      <c r="AS6" s="17" t="s">
        <v>34</v>
      </c>
      <c r="AT6" s="17" t="s">
        <v>35</v>
      </c>
      <c r="AU6" s="17" t="s">
        <v>53</v>
      </c>
      <c r="AV6" s="459"/>
    </row>
    <row r="7" spans="2:52" x14ac:dyDescent="0.25">
      <c r="B7" s="8">
        <v>44835</v>
      </c>
      <c r="C7" s="42" t="str">
        <f>TEXT(B7,"ddd")</f>
        <v>Sat</v>
      </c>
      <c r="D7" s="266">
        <v>0.37</v>
      </c>
      <c r="E7" s="267">
        <v>0.18</v>
      </c>
      <c r="F7" s="267">
        <v>0.23</v>
      </c>
      <c r="G7" s="143">
        <f>SUMPRODUCT(D7:F7,$D$6:$F$6)</f>
        <v>6513</v>
      </c>
      <c r="H7" s="272">
        <v>0.55600000000000005</v>
      </c>
      <c r="I7" s="95"/>
      <c r="J7" s="22">
        <f>I7-0</f>
        <v>0</v>
      </c>
      <c r="K7" s="306">
        <v>2430121</v>
      </c>
      <c r="L7" s="270">
        <v>22885</v>
      </c>
      <c r="M7" s="23"/>
      <c r="N7" s="23"/>
      <c r="O7" s="22"/>
      <c r="P7" s="22">
        <v>85800</v>
      </c>
      <c r="Q7" s="21">
        <f>P7-[1]September!P36</f>
        <v>0</v>
      </c>
      <c r="R7" s="22">
        <v>93852</v>
      </c>
      <c r="S7" s="21">
        <f>R7-[1]September!R36</f>
        <v>5452</v>
      </c>
      <c r="T7" s="109">
        <v>0</v>
      </c>
      <c r="U7" s="109">
        <v>0</v>
      </c>
      <c r="V7" s="105">
        <f t="shared" ref="V7:V16" si="0">SUM(T7:U7)</f>
        <v>0</v>
      </c>
      <c r="W7" s="109">
        <v>0</v>
      </c>
      <c r="X7" s="51">
        <v>22885</v>
      </c>
      <c r="Y7" s="49">
        <f t="shared" ref="Y7:Y37" si="1">SUM(W7:X7)</f>
        <v>22885</v>
      </c>
      <c r="Z7" s="44">
        <v>0</v>
      </c>
      <c r="AA7" s="44">
        <v>0</v>
      </c>
      <c r="AB7" s="259">
        <v>0</v>
      </c>
      <c r="AC7" s="44">
        <v>22.890000000000327</v>
      </c>
      <c r="AD7" s="242">
        <v>171.45</v>
      </c>
      <c r="AE7" s="243">
        <f>AD7</f>
        <v>171.45</v>
      </c>
      <c r="AF7" s="186">
        <v>15.38</v>
      </c>
      <c r="AG7" s="186"/>
      <c r="AH7" s="316">
        <v>63.6</v>
      </c>
      <c r="AI7" s="7">
        <v>171.45</v>
      </c>
      <c r="AJ7" s="7">
        <f>AI7</f>
        <v>171.45</v>
      </c>
      <c r="AK7" s="207">
        <v>382231</v>
      </c>
      <c r="AL7" s="90">
        <f>AK7-'Sep2022'!AL36</f>
        <v>3327</v>
      </c>
      <c r="AM7" s="220">
        <v>52605</v>
      </c>
      <c r="AN7" s="90">
        <f>AM7-'Sep2022'!AN36</f>
        <v>963</v>
      </c>
      <c r="AO7" s="262">
        <v>9014</v>
      </c>
      <c r="AP7" s="315">
        <f>AO7-8990</f>
        <v>24</v>
      </c>
      <c r="AQ7" s="76">
        <v>85800</v>
      </c>
      <c r="AR7" s="227">
        <f>AQ7-'Sep2022'!AR36</f>
        <v>0</v>
      </c>
      <c r="AS7" s="76">
        <v>93852</v>
      </c>
      <c r="AT7" s="227">
        <f>AS7-'Sep2022'!AT36</f>
        <v>5452</v>
      </c>
      <c r="AU7" s="49">
        <f t="shared" ref="AU7:AU34" si="2">AR7+AT7</f>
        <v>5452</v>
      </c>
      <c r="AV7" s="17">
        <v>2</v>
      </c>
      <c r="AX7" s="79"/>
      <c r="AY7" s="74"/>
      <c r="AZ7" s="74"/>
    </row>
    <row r="8" spans="2:52" x14ac:dyDescent="0.25">
      <c r="B8" s="8">
        <f>B7+1</f>
        <v>44836</v>
      </c>
      <c r="C8" s="42" t="str">
        <f t="shared" ref="C8:C37" si="3">TEXT(B8,"ddd")</f>
        <v>Sun</v>
      </c>
      <c r="D8" s="268">
        <v>0.94</v>
      </c>
      <c r="E8" s="269">
        <v>0.87</v>
      </c>
      <c r="F8" s="269">
        <v>0.88</v>
      </c>
      <c r="G8" s="143">
        <f t="shared" ref="G8:G36" si="4">SUMPRODUCT(D8:F8,$D$6:$F$6)</f>
        <v>22461.5</v>
      </c>
      <c r="H8" s="272">
        <v>0.55600000000000005</v>
      </c>
      <c r="I8" s="95"/>
      <c r="J8" s="22">
        <f t="shared" ref="J8:J35" si="5">I8-I7</f>
        <v>0</v>
      </c>
      <c r="K8" s="307">
        <v>2432014</v>
      </c>
      <c r="L8" s="127">
        <f>K8-K7</f>
        <v>1893</v>
      </c>
      <c r="M8" s="26"/>
      <c r="N8" s="26"/>
      <c r="O8" s="22"/>
      <c r="P8" s="22">
        <v>85800</v>
      </c>
      <c r="Q8" s="21">
        <f t="shared" ref="Q8:Q29" si="6">P8-P7</f>
        <v>0</v>
      </c>
      <c r="R8" s="22">
        <v>97378</v>
      </c>
      <c r="S8" s="21">
        <f t="shared" ref="S8:S33" si="7">R8-R7</f>
        <v>3526</v>
      </c>
      <c r="T8" s="109">
        <v>0</v>
      </c>
      <c r="U8" s="109">
        <v>0</v>
      </c>
      <c r="V8" s="105">
        <f t="shared" si="0"/>
        <v>0</v>
      </c>
      <c r="W8" s="109">
        <v>0</v>
      </c>
      <c r="X8" s="51">
        <v>0</v>
      </c>
      <c r="Y8" s="49">
        <f t="shared" si="1"/>
        <v>0</v>
      </c>
      <c r="Z8" s="44">
        <v>0</v>
      </c>
      <c r="AA8" s="44">
        <v>0</v>
      </c>
      <c r="AB8" s="259">
        <v>0</v>
      </c>
      <c r="AC8" s="44">
        <v>0</v>
      </c>
      <c r="AD8" s="244">
        <v>0</v>
      </c>
      <c r="AE8" s="243">
        <f>AD8+AE7</f>
        <v>171.45</v>
      </c>
      <c r="AF8" s="187" t="s">
        <v>83</v>
      </c>
      <c r="AG8" s="186"/>
      <c r="AH8" s="317">
        <v>48</v>
      </c>
      <c r="AI8" s="7">
        <v>0</v>
      </c>
      <c r="AJ8" s="7">
        <f>AI8+AJ7</f>
        <v>171.45</v>
      </c>
      <c r="AK8" s="207">
        <v>385768</v>
      </c>
      <c r="AL8" s="90">
        <f>AK8-AK7</f>
        <v>3537</v>
      </c>
      <c r="AM8" s="221">
        <v>53652</v>
      </c>
      <c r="AN8" s="76">
        <f t="shared" ref="AN8:AN35" si="8">AM8-AM7</f>
        <v>1047</v>
      </c>
      <c r="AO8" s="263">
        <v>9032</v>
      </c>
      <c r="AP8" s="314">
        <f>AO8-AO7</f>
        <v>18</v>
      </c>
      <c r="AQ8" s="76">
        <v>85800</v>
      </c>
      <c r="AR8" s="227">
        <f>AQ8-AQ7</f>
        <v>0</v>
      </c>
      <c r="AS8" s="76">
        <v>107682</v>
      </c>
      <c r="AT8" s="227">
        <f>AS8-AS7</f>
        <v>13830</v>
      </c>
      <c r="AU8" s="49">
        <f t="shared" si="2"/>
        <v>13830</v>
      </c>
      <c r="AV8" s="17" t="s">
        <v>54</v>
      </c>
      <c r="AX8" s="79"/>
      <c r="AY8" s="74"/>
      <c r="AZ8" s="74"/>
    </row>
    <row r="9" spans="2:52" x14ac:dyDescent="0.25">
      <c r="B9" s="8">
        <f>B8+1</f>
        <v>44837</v>
      </c>
      <c r="C9" s="42" t="str">
        <f t="shared" si="3"/>
        <v>Mon</v>
      </c>
      <c r="D9" s="268">
        <v>0.94</v>
      </c>
      <c r="E9" s="269">
        <v>0.99</v>
      </c>
      <c r="F9" s="269">
        <v>0.99</v>
      </c>
      <c r="G9" s="143">
        <f t="shared" si="4"/>
        <v>24382</v>
      </c>
      <c r="H9" s="272">
        <v>0.55500000000000005</v>
      </c>
      <c r="I9" s="95"/>
      <c r="J9" s="22">
        <f t="shared" si="5"/>
        <v>0</v>
      </c>
      <c r="K9" s="307">
        <v>2459032</v>
      </c>
      <c r="L9" s="127">
        <f t="shared" ref="L9:L35" si="9">K9-K8</f>
        <v>27018</v>
      </c>
      <c r="M9" s="26"/>
      <c r="N9" s="26"/>
      <c r="O9" s="22"/>
      <c r="P9" s="22">
        <v>85800</v>
      </c>
      <c r="Q9" s="21">
        <f t="shared" si="6"/>
        <v>0</v>
      </c>
      <c r="R9" s="22">
        <v>112537</v>
      </c>
      <c r="S9" s="21">
        <f t="shared" si="7"/>
        <v>15159</v>
      </c>
      <c r="T9" s="109">
        <v>0</v>
      </c>
      <c r="U9" s="109">
        <v>0</v>
      </c>
      <c r="V9" s="105">
        <f t="shared" si="0"/>
        <v>0</v>
      </c>
      <c r="W9" s="109">
        <v>0</v>
      </c>
      <c r="X9" s="51">
        <v>28911</v>
      </c>
      <c r="Y9" s="49">
        <f t="shared" si="1"/>
        <v>28911</v>
      </c>
      <c r="Z9" s="44">
        <v>0</v>
      </c>
      <c r="AA9" s="44">
        <v>0</v>
      </c>
      <c r="AB9" s="259">
        <v>0</v>
      </c>
      <c r="AC9" s="44">
        <v>23.659999999999854</v>
      </c>
      <c r="AD9" s="244">
        <v>0</v>
      </c>
      <c r="AE9" s="243">
        <f>AD9+AE8</f>
        <v>171.45</v>
      </c>
      <c r="AF9" s="187" t="s">
        <v>83</v>
      </c>
      <c r="AG9" s="186"/>
      <c r="AH9" s="317">
        <v>40.4</v>
      </c>
      <c r="AI9" s="102">
        <v>0</v>
      </c>
      <c r="AJ9" s="7">
        <f t="shared" ref="AJ9:AJ36" si="10">AI9+AJ8</f>
        <v>171.45</v>
      </c>
      <c r="AK9" s="207">
        <v>388979</v>
      </c>
      <c r="AL9" s="90">
        <f t="shared" ref="AL9:AL35" si="11">AK9-AK8</f>
        <v>3211</v>
      </c>
      <c r="AM9" s="222">
        <v>54273</v>
      </c>
      <c r="AN9" s="76">
        <f t="shared" si="8"/>
        <v>621</v>
      </c>
      <c r="AO9" s="263">
        <v>9054</v>
      </c>
      <c r="AP9" s="314">
        <f t="shared" ref="AP9:AP34" si="12">AO9-AO8</f>
        <v>22</v>
      </c>
      <c r="AQ9" s="76">
        <v>85800</v>
      </c>
      <c r="AR9" s="227">
        <f>AQ9-AQ8</f>
        <v>0</v>
      </c>
      <c r="AS9" s="76">
        <v>114815</v>
      </c>
      <c r="AT9" s="227">
        <f t="shared" ref="AT9:AT27" si="13">AS9-AS8</f>
        <v>7133</v>
      </c>
      <c r="AU9" s="49">
        <f t="shared" si="2"/>
        <v>7133</v>
      </c>
      <c r="AV9" s="17" t="s">
        <v>54</v>
      </c>
      <c r="AX9" s="79"/>
      <c r="AY9" s="74"/>
      <c r="AZ9" s="74"/>
    </row>
    <row r="10" spans="2:52" x14ac:dyDescent="0.25">
      <c r="B10" s="8">
        <f t="shared" ref="B10:B37" si="14">B9+1</f>
        <v>44838</v>
      </c>
      <c r="C10" s="42" t="str">
        <f t="shared" si="3"/>
        <v>Tue</v>
      </c>
      <c r="D10" s="271">
        <v>0.64</v>
      </c>
      <c r="E10" s="271">
        <v>0.56999999999999995</v>
      </c>
      <c r="F10" s="271">
        <v>0.59</v>
      </c>
      <c r="G10" s="143">
        <f t="shared" si="4"/>
        <v>15030</v>
      </c>
      <c r="H10" s="273">
        <v>0.55800000000000005</v>
      </c>
      <c r="I10" s="95"/>
      <c r="J10" s="22">
        <f t="shared" si="5"/>
        <v>0</v>
      </c>
      <c r="K10" s="308">
        <v>2479282</v>
      </c>
      <c r="L10" s="127">
        <f t="shared" si="9"/>
        <v>20250</v>
      </c>
      <c r="M10" s="26"/>
      <c r="N10" s="26"/>
      <c r="O10" s="22"/>
      <c r="P10" s="22">
        <v>85800</v>
      </c>
      <c r="Q10" s="21">
        <f t="shared" si="6"/>
        <v>0</v>
      </c>
      <c r="R10" s="22">
        <v>114815</v>
      </c>
      <c r="S10" s="21">
        <f t="shared" si="7"/>
        <v>2278</v>
      </c>
      <c r="T10" s="109">
        <v>0</v>
      </c>
      <c r="U10" s="109">
        <v>0</v>
      </c>
      <c r="V10" s="105">
        <f t="shared" si="0"/>
        <v>0</v>
      </c>
      <c r="W10" s="109">
        <v>0</v>
      </c>
      <c r="X10" s="51">
        <v>20250</v>
      </c>
      <c r="Y10" s="49">
        <f t="shared" si="1"/>
        <v>20250</v>
      </c>
      <c r="Z10" s="44">
        <v>0</v>
      </c>
      <c r="AA10" s="44">
        <v>0</v>
      </c>
      <c r="AB10" s="259">
        <v>0</v>
      </c>
      <c r="AC10" s="44">
        <v>23.059999999999945</v>
      </c>
      <c r="AD10" s="244">
        <v>99.59</v>
      </c>
      <c r="AE10" s="243">
        <f>AD10+AE9</f>
        <v>271.03999999999996</v>
      </c>
      <c r="AF10" s="187">
        <v>15.93</v>
      </c>
      <c r="AG10" s="187">
        <v>18.09</v>
      </c>
      <c r="AH10" s="316">
        <v>30</v>
      </c>
      <c r="AI10" s="102">
        <v>99.84</v>
      </c>
      <c r="AJ10" s="7">
        <f t="shared" si="10"/>
        <v>271.28999999999996</v>
      </c>
      <c r="AK10" s="207">
        <v>392355</v>
      </c>
      <c r="AL10" s="90">
        <f t="shared" si="11"/>
        <v>3376</v>
      </c>
      <c r="AM10" s="222">
        <v>54897</v>
      </c>
      <c r="AN10" s="76">
        <f t="shared" si="8"/>
        <v>624</v>
      </c>
      <c r="AO10" s="263">
        <v>9090</v>
      </c>
      <c r="AP10" s="314">
        <f t="shared" si="12"/>
        <v>36</v>
      </c>
      <c r="AQ10" s="76">
        <v>85800</v>
      </c>
      <c r="AR10" s="227">
        <f t="shared" ref="AR10:AR36" si="15">AQ10-AQ9</f>
        <v>0</v>
      </c>
      <c r="AS10" s="76">
        <v>114815</v>
      </c>
      <c r="AT10" s="227">
        <f t="shared" si="13"/>
        <v>0</v>
      </c>
      <c r="AU10" s="49">
        <f t="shared" si="2"/>
        <v>0</v>
      </c>
      <c r="AV10" s="17" t="s">
        <v>72</v>
      </c>
      <c r="AX10" s="79"/>
      <c r="AY10" s="74"/>
      <c r="AZ10" s="74"/>
    </row>
    <row r="11" spans="2:52" x14ac:dyDescent="0.25">
      <c r="B11" s="8">
        <f t="shared" si="14"/>
        <v>44839</v>
      </c>
      <c r="C11" s="42" t="str">
        <f t="shared" si="3"/>
        <v>Wed</v>
      </c>
      <c r="D11" s="282">
        <v>0.69</v>
      </c>
      <c r="E11" s="282">
        <v>0.67</v>
      </c>
      <c r="F11" s="282">
        <v>0.56000000000000005</v>
      </c>
      <c r="G11" s="143">
        <f t="shared" si="4"/>
        <v>16032</v>
      </c>
      <c r="H11" s="274">
        <v>0.56000000000000005</v>
      </c>
      <c r="I11" s="95"/>
      <c r="J11" s="22">
        <f t="shared" si="5"/>
        <v>0</v>
      </c>
      <c r="K11" s="308">
        <v>2499909</v>
      </c>
      <c r="L11" s="127">
        <f t="shared" si="9"/>
        <v>20627</v>
      </c>
      <c r="M11" s="26"/>
      <c r="N11" s="26"/>
      <c r="O11" s="22"/>
      <c r="P11" s="22">
        <v>85800</v>
      </c>
      <c r="Q11" s="21">
        <f t="shared" si="6"/>
        <v>0</v>
      </c>
      <c r="R11" s="22">
        <v>114815</v>
      </c>
      <c r="S11" s="21">
        <f t="shared" si="7"/>
        <v>0</v>
      </c>
      <c r="T11" s="109">
        <v>0</v>
      </c>
      <c r="U11" s="109">
        <v>0</v>
      </c>
      <c r="V11" s="105">
        <f t="shared" si="0"/>
        <v>0</v>
      </c>
      <c r="W11" s="109">
        <v>0</v>
      </c>
      <c r="X11" s="51">
        <v>20627</v>
      </c>
      <c r="Y11" s="49">
        <f t="shared" si="1"/>
        <v>20627</v>
      </c>
      <c r="Z11" s="44">
        <v>0</v>
      </c>
      <c r="AA11" s="44">
        <v>0</v>
      </c>
      <c r="AB11" s="259">
        <v>0</v>
      </c>
      <c r="AC11" s="44">
        <v>23.949999999999818</v>
      </c>
      <c r="AD11" s="245">
        <v>317.16000000000003</v>
      </c>
      <c r="AE11" s="243">
        <f t="shared" ref="AE11:AE35" si="16">AD11+AE10</f>
        <v>588.20000000000005</v>
      </c>
      <c r="AF11" s="187">
        <v>15.55</v>
      </c>
      <c r="AG11" s="187">
        <v>4.7</v>
      </c>
      <c r="AH11" s="316">
        <v>37</v>
      </c>
      <c r="AI11" s="102">
        <v>317.16000000000003</v>
      </c>
      <c r="AJ11" s="7">
        <f t="shared" si="10"/>
        <v>588.45000000000005</v>
      </c>
      <c r="AK11" s="207">
        <v>396772</v>
      </c>
      <c r="AL11" s="90">
        <f t="shared" si="11"/>
        <v>4417</v>
      </c>
      <c r="AM11" s="222">
        <v>55548</v>
      </c>
      <c r="AN11" s="76">
        <f t="shared" si="8"/>
        <v>651</v>
      </c>
      <c r="AO11" s="263">
        <v>9117</v>
      </c>
      <c r="AP11" s="314">
        <f t="shared" si="12"/>
        <v>27</v>
      </c>
      <c r="AQ11" s="76">
        <v>85800</v>
      </c>
      <c r="AR11" s="227">
        <f t="shared" si="15"/>
        <v>0</v>
      </c>
      <c r="AS11" s="76">
        <v>114815</v>
      </c>
      <c r="AT11" s="227">
        <f t="shared" si="13"/>
        <v>0</v>
      </c>
      <c r="AU11" s="49">
        <f t="shared" si="2"/>
        <v>0</v>
      </c>
      <c r="AV11" s="17">
        <v>2</v>
      </c>
      <c r="AX11" s="79"/>
      <c r="AY11" s="74"/>
      <c r="AZ11" s="74"/>
    </row>
    <row r="12" spans="2:52" x14ac:dyDescent="0.25">
      <c r="B12" s="8">
        <f t="shared" si="14"/>
        <v>44840</v>
      </c>
      <c r="C12" s="42" t="str">
        <f t="shared" si="3"/>
        <v>Thu</v>
      </c>
      <c r="D12" s="268">
        <v>0.61</v>
      </c>
      <c r="E12" s="269">
        <v>0.7</v>
      </c>
      <c r="F12" s="269">
        <v>0.7</v>
      </c>
      <c r="G12" s="143">
        <f t="shared" si="4"/>
        <v>16783.5</v>
      </c>
      <c r="H12" s="275">
        <v>0.55700000000000005</v>
      </c>
      <c r="I12" s="95"/>
      <c r="J12" s="22">
        <f t="shared" si="5"/>
        <v>0</v>
      </c>
      <c r="K12" s="308">
        <v>2522022</v>
      </c>
      <c r="L12" s="127">
        <f t="shared" si="9"/>
        <v>22113</v>
      </c>
      <c r="M12" s="26"/>
      <c r="N12" s="26"/>
      <c r="O12" s="22"/>
      <c r="P12" s="22">
        <v>85800</v>
      </c>
      <c r="Q12" s="21">
        <f t="shared" si="6"/>
        <v>0</v>
      </c>
      <c r="R12" s="22">
        <v>114815</v>
      </c>
      <c r="S12" s="21">
        <f t="shared" si="7"/>
        <v>0</v>
      </c>
      <c r="T12" s="109">
        <v>0</v>
      </c>
      <c r="U12" s="109">
        <v>0</v>
      </c>
      <c r="V12" s="105">
        <f t="shared" si="0"/>
        <v>0</v>
      </c>
      <c r="W12" s="109">
        <v>0</v>
      </c>
      <c r="X12" s="51">
        <v>22113</v>
      </c>
      <c r="Y12" s="49">
        <f t="shared" si="1"/>
        <v>22113</v>
      </c>
      <c r="Z12" s="44">
        <v>0</v>
      </c>
      <c r="AA12" s="44">
        <v>0</v>
      </c>
      <c r="AB12" s="259">
        <v>0</v>
      </c>
      <c r="AC12" s="44">
        <v>23.930000000000291</v>
      </c>
      <c r="AD12" s="245">
        <v>302.52</v>
      </c>
      <c r="AE12" s="243">
        <f t="shared" si="16"/>
        <v>890.72</v>
      </c>
      <c r="AF12" s="186">
        <v>16.170000000000002</v>
      </c>
      <c r="AG12" s="186"/>
      <c r="AH12" s="316">
        <v>46.3</v>
      </c>
      <c r="AI12" s="102">
        <v>302.52</v>
      </c>
      <c r="AJ12" s="7">
        <f t="shared" si="10"/>
        <v>890.97</v>
      </c>
      <c r="AK12" s="207">
        <v>399672</v>
      </c>
      <c r="AL12" s="90">
        <f t="shared" si="11"/>
        <v>2900</v>
      </c>
      <c r="AM12" s="222">
        <v>55981</v>
      </c>
      <c r="AN12" s="76">
        <f t="shared" si="8"/>
        <v>433</v>
      </c>
      <c r="AO12" s="263">
        <v>9141</v>
      </c>
      <c r="AP12" s="314">
        <f t="shared" si="12"/>
        <v>24</v>
      </c>
      <c r="AQ12" s="76">
        <v>85800</v>
      </c>
      <c r="AR12" s="227">
        <f t="shared" si="15"/>
        <v>0</v>
      </c>
      <c r="AS12" s="76">
        <v>114815</v>
      </c>
      <c r="AT12" s="227">
        <f t="shared" si="13"/>
        <v>0</v>
      </c>
      <c r="AU12" s="49">
        <f t="shared" si="2"/>
        <v>0</v>
      </c>
      <c r="AV12" s="17">
        <v>2</v>
      </c>
      <c r="AX12" s="79"/>
      <c r="AY12" s="74"/>
      <c r="AZ12" s="74"/>
    </row>
    <row r="13" spans="2:52" x14ac:dyDescent="0.25">
      <c r="B13" s="8">
        <f t="shared" si="14"/>
        <v>44841</v>
      </c>
      <c r="C13" s="42" t="str">
        <f t="shared" si="3"/>
        <v>Fri</v>
      </c>
      <c r="D13" s="283">
        <v>0.49</v>
      </c>
      <c r="E13" s="284">
        <v>0.76</v>
      </c>
      <c r="F13" s="284">
        <v>0.69</v>
      </c>
      <c r="G13" s="143">
        <f t="shared" si="4"/>
        <v>16199</v>
      </c>
      <c r="H13" s="275">
        <v>0.55700000000000005</v>
      </c>
      <c r="I13" s="95"/>
      <c r="J13" s="22">
        <f t="shared" si="5"/>
        <v>0</v>
      </c>
      <c r="K13" s="308">
        <v>2545967</v>
      </c>
      <c r="L13" s="127">
        <f t="shared" si="9"/>
        <v>23945</v>
      </c>
      <c r="M13" s="26"/>
      <c r="N13" s="26"/>
      <c r="O13" s="22"/>
      <c r="P13" s="22">
        <v>85800</v>
      </c>
      <c r="Q13" s="21">
        <f t="shared" si="6"/>
        <v>0</v>
      </c>
      <c r="R13" s="22">
        <v>114815</v>
      </c>
      <c r="S13" s="21">
        <f t="shared" si="7"/>
        <v>0</v>
      </c>
      <c r="T13" s="109">
        <v>0</v>
      </c>
      <c r="U13" s="109">
        <v>0</v>
      </c>
      <c r="V13" s="105">
        <f t="shared" si="0"/>
        <v>0</v>
      </c>
      <c r="W13" s="109">
        <v>0</v>
      </c>
      <c r="X13" s="51">
        <v>23945</v>
      </c>
      <c r="Y13" s="49">
        <f t="shared" si="1"/>
        <v>23945</v>
      </c>
      <c r="Z13" s="44">
        <v>0</v>
      </c>
      <c r="AA13" s="44">
        <v>0</v>
      </c>
      <c r="AB13" s="259">
        <v>0</v>
      </c>
      <c r="AC13" s="44">
        <v>24.239999999999782</v>
      </c>
      <c r="AD13" s="245">
        <v>300.67</v>
      </c>
      <c r="AE13" s="243">
        <f t="shared" si="16"/>
        <v>1191.3900000000001</v>
      </c>
      <c r="AF13" s="193">
        <v>15.52</v>
      </c>
      <c r="AG13" s="193"/>
      <c r="AH13" s="316">
        <v>50</v>
      </c>
      <c r="AI13" s="7">
        <v>300.67</v>
      </c>
      <c r="AJ13" s="7">
        <f t="shared" si="10"/>
        <v>1191.6400000000001</v>
      </c>
      <c r="AK13" s="207">
        <v>402737</v>
      </c>
      <c r="AL13" s="90">
        <f t="shared" si="11"/>
        <v>3065</v>
      </c>
      <c r="AM13" s="222">
        <v>56555</v>
      </c>
      <c r="AN13" s="76">
        <f t="shared" si="8"/>
        <v>574</v>
      </c>
      <c r="AO13" s="263">
        <v>9190</v>
      </c>
      <c r="AP13" s="314">
        <f t="shared" si="12"/>
        <v>49</v>
      </c>
      <c r="AQ13" s="76">
        <v>85800</v>
      </c>
      <c r="AR13" s="227">
        <f t="shared" si="15"/>
        <v>0</v>
      </c>
      <c r="AS13" s="76">
        <v>114815</v>
      </c>
      <c r="AT13" s="227">
        <f t="shared" si="13"/>
        <v>0</v>
      </c>
      <c r="AU13" s="49">
        <f t="shared" si="2"/>
        <v>0</v>
      </c>
      <c r="AV13" s="17">
        <v>2</v>
      </c>
      <c r="AX13" s="79"/>
      <c r="AY13" s="74"/>
      <c r="AZ13" s="74"/>
    </row>
    <row r="14" spans="2:52" x14ac:dyDescent="0.25">
      <c r="B14" s="8">
        <f t="shared" si="14"/>
        <v>44842</v>
      </c>
      <c r="C14" s="42" t="str">
        <f t="shared" si="3"/>
        <v>Sat</v>
      </c>
      <c r="D14" s="283">
        <v>0.26</v>
      </c>
      <c r="E14" s="284">
        <v>0.36</v>
      </c>
      <c r="F14" s="284">
        <v>0.28000000000000003</v>
      </c>
      <c r="G14" s="143">
        <f t="shared" si="4"/>
        <v>7515</v>
      </c>
      <c r="H14" s="276">
        <v>0.55500000000000005</v>
      </c>
      <c r="I14" s="95"/>
      <c r="J14" s="22">
        <f t="shared" si="5"/>
        <v>0</v>
      </c>
      <c r="K14" s="308">
        <v>2575125</v>
      </c>
      <c r="L14" s="127">
        <f t="shared" si="9"/>
        <v>29158</v>
      </c>
      <c r="M14" s="26"/>
      <c r="N14" s="26"/>
      <c r="O14" s="22"/>
      <c r="P14" s="22">
        <v>85800</v>
      </c>
      <c r="Q14" s="21">
        <f t="shared" si="6"/>
        <v>0</v>
      </c>
      <c r="R14" s="22">
        <v>114815</v>
      </c>
      <c r="S14" s="21">
        <f t="shared" si="7"/>
        <v>0</v>
      </c>
      <c r="T14" s="109">
        <v>0</v>
      </c>
      <c r="U14" s="109">
        <v>0</v>
      </c>
      <c r="V14" s="105">
        <f t="shared" si="0"/>
        <v>0</v>
      </c>
      <c r="W14" s="109">
        <v>0</v>
      </c>
      <c r="X14" s="51">
        <v>29158</v>
      </c>
      <c r="Y14" s="49">
        <f t="shared" si="1"/>
        <v>29158</v>
      </c>
      <c r="Z14" s="44">
        <v>0</v>
      </c>
      <c r="AA14" s="44">
        <v>0</v>
      </c>
      <c r="AB14" s="259">
        <v>0</v>
      </c>
      <c r="AC14" s="44">
        <v>23.800000000000182</v>
      </c>
      <c r="AD14" s="245">
        <v>246.16</v>
      </c>
      <c r="AE14" s="243">
        <f t="shared" si="16"/>
        <v>1437.5500000000002</v>
      </c>
      <c r="AF14" s="190">
        <v>16.98</v>
      </c>
      <c r="AG14" s="190"/>
      <c r="AH14" s="318">
        <v>55.3</v>
      </c>
      <c r="AI14" s="7">
        <v>246.16</v>
      </c>
      <c r="AJ14" s="7">
        <f t="shared" si="10"/>
        <v>1437.8000000000002</v>
      </c>
      <c r="AK14" s="207">
        <v>405551</v>
      </c>
      <c r="AL14" s="90">
        <f t="shared" si="11"/>
        <v>2814</v>
      </c>
      <c r="AM14" s="222">
        <v>57012</v>
      </c>
      <c r="AN14" s="76">
        <f t="shared" si="8"/>
        <v>457</v>
      </c>
      <c r="AO14" s="263">
        <v>9208</v>
      </c>
      <c r="AP14" s="314">
        <f t="shared" si="12"/>
        <v>18</v>
      </c>
      <c r="AQ14" s="76">
        <v>85800</v>
      </c>
      <c r="AR14" s="227">
        <f t="shared" si="15"/>
        <v>0</v>
      </c>
      <c r="AS14" s="76">
        <v>114815</v>
      </c>
      <c r="AT14" s="227">
        <f t="shared" si="13"/>
        <v>0</v>
      </c>
      <c r="AU14" s="49">
        <f t="shared" si="2"/>
        <v>0</v>
      </c>
      <c r="AV14" s="17">
        <v>2</v>
      </c>
      <c r="AX14" s="79"/>
      <c r="AY14" s="74"/>
      <c r="AZ14" s="74"/>
    </row>
    <row r="15" spans="2:52" x14ac:dyDescent="0.25">
      <c r="B15" s="8">
        <f t="shared" si="14"/>
        <v>44843</v>
      </c>
      <c r="C15" s="42" t="str">
        <f t="shared" si="3"/>
        <v>Sun</v>
      </c>
      <c r="D15" s="283">
        <v>0.93</v>
      </c>
      <c r="E15" s="284">
        <v>0.65</v>
      </c>
      <c r="F15" s="284">
        <v>0.98</v>
      </c>
      <c r="G15" s="143">
        <f t="shared" si="4"/>
        <v>21376</v>
      </c>
      <c r="H15" s="276">
        <v>0.55400000000000005</v>
      </c>
      <c r="I15" s="95"/>
      <c r="J15" s="22">
        <f t="shared" si="5"/>
        <v>0</v>
      </c>
      <c r="K15" s="309">
        <v>2583083</v>
      </c>
      <c r="L15" s="127">
        <f t="shared" si="9"/>
        <v>7958</v>
      </c>
      <c r="M15" s="25"/>
      <c r="N15" s="25"/>
      <c r="O15" s="22"/>
      <c r="P15" s="22">
        <v>85800</v>
      </c>
      <c r="Q15" s="21">
        <f t="shared" si="6"/>
        <v>0</v>
      </c>
      <c r="R15" s="22">
        <v>114815</v>
      </c>
      <c r="S15" s="21">
        <f t="shared" si="7"/>
        <v>0</v>
      </c>
      <c r="T15" s="109">
        <v>0</v>
      </c>
      <c r="U15" s="109">
        <v>0</v>
      </c>
      <c r="V15" s="105">
        <f t="shared" si="0"/>
        <v>0</v>
      </c>
      <c r="W15" s="109">
        <v>0</v>
      </c>
      <c r="X15" s="51">
        <v>7958</v>
      </c>
      <c r="Y15" s="49">
        <f t="shared" si="1"/>
        <v>7958</v>
      </c>
      <c r="Z15" s="44">
        <v>0</v>
      </c>
      <c r="AA15" s="44">
        <v>0</v>
      </c>
      <c r="AB15" s="259">
        <v>0</v>
      </c>
      <c r="AC15" s="44">
        <v>7.6100000000001273</v>
      </c>
      <c r="AD15" s="245">
        <v>0</v>
      </c>
      <c r="AE15" s="243">
        <f t="shared" si="16"/>
        <v>1437.5500000000002</v>
      </c>
      <c r="AF15" s="190" t="s">
        <v>83</v>
      </c>
      <c r="AG15" s="190"/>
      <c r="AH15" s="318">
        <v>44.9</v>
      </c>
      <c r="AI15" s="7">
        <v>0</v>
      </c>
      <c r="AJ15" s="7">
        <f t="shared" si="10"/>
        <v>1437.8000000000002</v>
      </c>
      <c r="AK15" s="207">
        <v>408668</v>
      </c>
      <c r="AL15" s="90">
        <f t="shared" si="11"/>
        <v>3117</v>
      </c>
      <c r="AM15" s="222">
        <v>57508</v>
      </c>
      <c r="AN15" s="76">
        <f t="shared" si="8"/>
        <v>496</v>
      </c>
      <c r="AO15" s="263">
        <v>9232</v>
      </c>
      <c r="AP15" s="314">
        <f t="shared" si="12"/>
        <v>24</v>
      </c>
      <c r="AQ15" s="76">
        <v>85800</v>
      </c>
      <c r="AR15" s="227">
        <f t="shared" si="15"/>
        <v>0</v>
      </c>
      <c r="AS15" s="76">
        <v>114863</v>
      </c>
      <c r="AT15" s="227">
        <f t="shared" si="13"/>
        <v>48</v>
      </c>
      <c r="AU15" s="49">
        <f t="shared" si="2"/>
        <v>48</v>
      </c>
      <c r="AV15" s="17" t="s">
        <v>54</v>
      </c>
      <c r="AX15" s="79"/>
      <c r="AY15" s="74"/>
      <c r="AZ15" s="74"/>
    </row>
    <row r="16" spans="2:52" x14ac:dyDescent="0.25">
      <c r="B16" s="8">
        <f t="shared" si="14"/>
        <v>44844</v>
      </c>
      <c r="C16" s="42" t="str">
        <f t="shared" si="3"/>
        <v>Mon</v>
      </c>
      <c r="D16" s="283">
        <v>0.7</v>
      </c>
      <c r="E16" s="284">
        <v>0.69</v>
      </c>
      <c r="F16" s="284">
        <v>0.62</v>
      </c>
      <c r="G16" s="143">
        <f t="shared" si="4"/>
        <v>16783.5</v>
      </c>
      <c r="H16" s="276">
        <v>0.55500000000000005</v>
      </c>
      <c r="I16" s="95"/>
      <c r="J16" s="22">
        <f t="shared" si="5"/>
        <v>0</v>
      </c>
      <c r="K16" s="309">
        <v>2607138</v>
      </c>
      <c r="L16" s="127">
        <f t="shared" si="9"/>
        <v>24055</v>
      </c>
      <c r="M16" s="23"/>
      <c r="N16" s="23"/>
      <c r="O16" s="22"/>
      <c r="P16" s="22">
        <v>85800</v>
      </c>
      <c r="Q16" s="21">
        <f t="shared" si="6"/>
        <v>0</v>
      </c>
      <c r="R16" s="22">
        <v>114815</v>
      </c>
      <c r="S16" s="21">
        <f t="shared" si="7"/>
        <v>0</v>
      </c>
      <c r="T16" s="109">
        <v>0</v>
      </c>
      <c r="U16" s="109">
        <v>0</v>
      </c>
      <c r="V16" s="105">
        <f t="shared" si="0"/>
        <v>0</v>
      </c>
      <c r="W16" s="109">
        <v>0</v>
      </c>
      <c r="X16" s="51">
        <v>24055</v>
      </c>
      <c r="Y16" s="49">
        <f t="shared" si="1"/>
        <v>24055</v>
      </c>
      <c r="Z16" s="44">
        <v>0</v>
      </c>
      <c r="AA16" s="44">
        <v>0</v>
      </c>
      <c r="AB16" s="259">
        <v>0</v>
      </c>
      <c r="AC16" s="44">
        <v>26.239999999999782</v>
      </c>
      <c r="AD16" s="244">
        <v>0</v>
      </c>
      <c r="AE16" s="243">
        <f t="shared" si="16"/>
        <v>1437.5500000000002</v>
      </c>
      <c r="AF16" s="190" t="s">
        <v>83</v>
      </c>
      <c r="AG16" s="190"/>
      <c r="AH16" s="318">
        <v>34.700000000000003</v>
      </c>
      <c r="AI16" s="7">
        <v>0</v>
      </c>
      <c r="AJ16" s="7">
        <f t="shared" si="10"/>
        <v>1437.8000000000002</v>
      </c>
      <c r="AK16" s="207">
        <v>411828</v>
      </c>
      <c r="AL16" s="90">
        <f t="shared" si="11"/>
        <v>3160</v>
      </c>
      <c r="AM16" s="222">
        <v>58062</v>
      </c>
      <c r="AN16" s="76">
        <f t="shared" si="8"/>
        <v>554</v>
      </c>
      <c r="AO16" s="263">
        <v>9287</v>
      </c>
      <c r="AP16" s="314">
        <f t="shared" si="12"/>
        <v>55</v>
      </c>
      <c r="AQ16" s="76">
        <v>85800</v>
      </c>
      <c r="AR16" s="227">
        <f t="shared" si="15"/>
        <v>0</v>
      </c>
      <c r="AS16" s="76">
        <v>114863</v>
      </c>
      <c r="AT16" s="227">
        <f t="shared" si="13"/>
        <v>0</v>
      </c>
      <c r="AU16" s="49">
        <f t="shared" si="2"/>
        <v>0</v>
      </c>
      <c r="AV16" s="17" t="s">
        <v>54</v>
      </c>
      <c r="AX16" s="79"/>
      <c r="AY16" s="74"/>
      <c r="AZ16" s="74"/>
    </row>
    <row r="17" spans="2:52" x14ac:dyDescent="0.25">
      <c r="B17" s="8">
        <f t="shared" si="14"/>
        <v>44845</v>
      </c>
      <c r="C17" s="42" t="str">
        <f t="shared" si="3"/>
        <v>Tue</v>
      </c>
      <c r="D17" s="285">
        <v>0.68</v>
      </c>
      <c r="E17" s="286">
        <v>0.66</v>
      </c>
      <c r="F17" s="286">
        <v>0.81</v>
      </c>
      <c r="G17" s="143">
        <f t="shared" si="4"/>
        <v>17952.5</v>
      </c>
      <c r="H17" s="275">
        <v>0.55500000000000005</v>
      </c>
      <c r="I17" s="95"/>
      <c r="J17" s="22">
        <f t="shared" si="5"/>
        <v>0</v>
      </c>
      <c r="K17" s="309">
        <v>2618425</v>
      </c>
      <c r="L17" s="127">
        <f t="shared" si="9"/>
        <v>11287</v>
      </c>
      <c r="M17" s="26"/>
      <c r="N17" s="26"/>
      <c r="O17" s="22"/>
      <c r="P17" s="22">
        <v>85800</v>
      </c>
      <c r="Q17" s="21">
        <f t="shared" si="6"/>
        <v>0</v>
      </c>
      <c r="R17" s="22">
        <v>114815</v>
      </c>
      <c r="S17" s="21">
        <f t="shared" si="7"/>
        <v>0</v>
      </c>
      <c r="T17" s="109">
        <v>76</v>
      </c>
      <c r="U17" s="109">
        <v>0</v>
      </c>
      <c r="V17" s="105">
        <f t="shared" ref="V17:V24" si="17">SUM(T17:U17)</f>
        <v>76</v>
      </c>
      <c r="W17" s="109">
        <v>0</v>
      </c>
      <c r="X17" s="51">
        <v>11287</v>
      </c>
      <c r="Y17" s="49">
        <f t="shared" si="1"/>
        <v>11287</v>
      </c>
      <c r="Z17" s="44">
        <v>0.31</v>
      </c>
      <c r="AA17" s="44">
        <v>0</v>
      </c>
      <c r="AB17" s="259">
        <v>0</v>
      </c>
      <c r="AC17" s="106">
        <v>12.220000000000255</v>
      </c>
      <c r="AD17" s="325">
        <v>273.13</v>
      </c>
      <c r="AE17" s="243">
        <f t="shared" si="16"/>
        <v>1710.6800000000003</v>
      </c>
      <c r="AF17" s="190">
        <v>16.7</v>
      </c>
      <c r="AG17" s="319"/>
      <c r="AH17" s="318">
        <v>37.6</v>
      </c>
      <c r="AI17" s="326">
        <v>237.13</v>
      </c>
      <c r="AJ17" s="7">
        <f t="shared" si="10"/>
        <v>1674.9300000000003</v>
      </c>
      <c r="AK17" s="208">
        <v>414988</v>
      </c>
      <c r="AL17" s="90">
        <f t="shared" si="11"/>
        <v>3160</v>
      </c>
      <c r="AM17" s="222">
        <v>58547</v>
      </c>
      <c r="AN17" s="76">
        <f t="shared" si="8"/>
        <v>485</v>
      </c>
      <c r="AO17" s="263">
        <v>9325</v>
      </c>
      <c r="AP17" s="314">
        <f t="shared" si="12"/>
        <v>38</v>
      </c>
      <c r="AQ17" s="76">
        <v>85800</v>
      </c>
      <c r="AR17" s="227">
        <f t="shared" si="15"/>
        <v>0</v>
      </c>
      <c r="AS17" s="76">
        <v>114863</v>
      </c>
      <c r="AT17" s="227">
        <f t="shared" si="13"/>
        <v>0</v>
      </c>
      <c r="AU17" s="49">
        <f t="shared" si="2"/>
        <v>0</v>
      </c>
      <c r="AV17" s="17">
        <v>2</v>
      </c>
      <c r="AX17" s="79"/>
      <c r="AY17" s="74"/>
      <c r="AZ17" s="74"/>
    </row>
    <row r="18" spans="2:52" x14ac:dyDescent="0.25">
      <c r="B18" s="8">
        <f t="shared" si="14"/>
        <v>44846</v>
      </c>
      <c r="C18" s="42" t="str">
        <f t="shared" si="3"/>
        <v>Wed</v>
      </c>
      <c r="D18" s="283">
        <v>0.78</v>
      </c>
      <c r="E18" s="284">
        <v>0.64</v>
      </c>
      <c r="F18" s="284">
        <v>0.68</v>
      </c>
      <c r="G18" s="143">
        <f t="shared" si="4"/>
        <v>17535</v>
      </c>
      <c r="H18" s="275">
        <v>0.55700000000000005</v>
      </c>
      <c r="I18" s="95"/>
      <c r="J18" s="22">
        <f t="shared" si="5"/>
        <v>0</v>
      </c>
      <c r="K18" s="309">
        <v>2640055</v>
      </c>
      <c r="L18" s="127">
        <f t="shared" si="9"/>
        <v>21630</v>
      </c>
      <c r="M18" s="26"/>
      <c r="N18" s="26"/>
      <c r="O18" s="22"/>
      <c r="P18" s="22">
        <v>85800</v>
      </c>
      <c r="Q18" s="21">
        <f t="shared" si="6"/>
        <v>0</v>
      </c>
      <c r="R18" s="22">
        <v>114863</v>
      </c>
      <c r="S18" s="21">
        <f t="shared" si="7"/>
        <v>48</v>
      </c>
      <c r="T18" s="109">
        <v>0</v>
      </c>
      <c r="U18" s="109">
        <v>0</v>
      </c>
      <c r="V18" s="105">
        <f t="shared" si="17"/>
        <v>0</v>
      </c>
      <c r="W18" s="109">
        <v>0</v>
      </c>
      <c r="X18" s="51">
        <v>21630</v>
      </c>
      <c r="Y18" s="49">
        <f t="shared" si="1"/>
        <v>21630</v>
      </c>
      <c r="Z18" s="44">
        <v>0</v>
      </c>
      <c r="AA18" s="44">
        <v>0</v>
      </c>
      <c r="AB18" s="259">
        <v>2.1899999999999977</v>
      </c>
      <c r="AC18" s="106">
        <v>22.899999999999636</v>
      </c>
      <c r="AD18" s="239">
        <v>0</v>
      </c>
      <c r="AE18" s="243">
        <f t="shared" si="16"/>
        <v>1710.6800000000003</v>
      </c>
      <c r="AF18" s="191" t="s">
        <v>83</v>
      </c>
      <c r="AG18" s="320"/>
      <c r="AH18" s="321">
        <v>39.4</v>
      </c>
      <c r="AI18" s="326">
        <v>230.91</v>
      </c>
      <c r="AJ18" s="7">
        <f t="shared" si="10"/>
        <v>1905.8400000000004</v>
      </c>
      <c r="AK18" s="208">
        <v>417830</v>
      </c>
      <c r="AL18" s="90">
        <f t="shared" si="11"/>
        <v>2842</v>
      </c>
      <c r="AM18" s="222">
        <v>59048</v>
      </c>
      <c r="AN18" s="76">
        <f t="shared" si="8"/>
        <v>501</v>
      </c>
      <c r="AO18" s="263">
        <v>9346</v>
      </c>
      <c r="AP18" s="314">
        <f t="shared" si="12"/>
        <v>21</v>
      </c>
      <c r="AQ18" s="76">
        <v>85800</v>
      </c>
      <c r="AR18" s="227">
        <f t="shared" si="15"/>
        <v>0</v>
      </c>
      <c r="AS18" s="76">
        <v>114863</v>
      </c>
      <c r="AT18" s="227">
        <f t="shared" si="13"/>
        <v>0</v>
      </c>
      <c r="AU18" s="49">
        <f t="shared" si="2"/>
        <v>0</v>
      </c>
      <c r="AV18" s="17">
        <v>2</v>
      </c>
      <c r="AX18" s="79"/>
      <c r="AY18" s="74"/>
      <c r="AZ18" s="74"/>
    </row>
    <row r="19" spans="2:52" x14ac:dyDescent="0.25">
      <c r="B19" s="8">
        <f t="shared" si="14"/>
        <v>44847</v>
      </c>
      <c r="C19" s="42" t="str">
        <f t="shared" si="3"/>
        <v>Thu</v>
      </c>
      <c r="D19" s="283">
        <v>0.72</v>
      </c>
      <c r="E19" s="284">
        <v>0.67</v>
      </c>
      <c r="F19" s="284">
        <v>0.65</v>
      </c>
      <c r="G19" s="143">
        <f>SUMPRODUCT(D19:F19,$D$6:$F$6)</f>
        <v>17034</v>
      </c>
      <c r="H19" s="276">
        <v>0.55800000000000005</v>
      </c>
      <c r="I19" s="95"/>
      <c r="J19" s="22">
        <f>I19-I18</f>
        <v>0</v>
      </c>
      <c r="K19" s="309">
        <v>2661413</v>
      </c>
      <c r="L19" s="127">
        <f>K19-K18</f>
        <v>21358</v>
      </c>
      <c r="M19" s="26"/>
      <c r="N19" s="26"/>
      <c r="O19" s="22"/>
      <c r="P19" s="22">
        <v>85992</v>
      </c>
      <c r="Q19" s="21">
        <f>P19-P18</f>
        <v>192</v>
      </c>
      <c r="R19" s="22">
        <v>115805</v>
      </c>
      <c r="S19" s="21">
        <f>R19-R18</f>
        <v>942</v>
      </c>
      <c r="T19" s="109">
        <v>0</v>
      </c>
      <c r="U19" s="109">
        <v>0</v>
      </c>
      <c r="V19" s="105">
        <f t="shared" si="17"/>
        <v>0</v>
      </c>
      <c r="W19" s="109">
        <v>0</v>
      </c>
      <c r="X19" s="103">
        <v>21358</v>
      </c>
      <c r="Y19" s="49">
        <f t="shared" si="1"/>
        <v>21358</v>
      </c>
      <c r="Z19" s="44">
        <v>0</v>
      </c>
      <c r="AA19" s="44">
        <v>0</v>
      </c>
      <c r="AB19" s="259">
        <v>0.51000000000000156</v>
      </c>
      <c r="AC19" s="106">
        <v>21.150000000000091</v>
      </c>
      <c r="AD19" s="244">
        <v>181.8</v>
      </c>
      <c r="AE19" s="243">
        <f>AD19+AE18</f>
        <v>1892.4800000000002</v>
      </c>
      <c r="AF19" s="191">
        <v>16.29</v>
      </c>
      <c r="AG19" s="320"/>
      <c r="AH19" s="321">
        <v>38</v>
      </c>
      <c r="AI19" s="7">
        <v>181.8</v>
      </c>
      <c r="AJ19" s="7">
        <f t="shared" si="10"/>
        <v>2087.6400000000003</v>
      </c>
      <c r="AK19" s="208">
        <v>421765</v>
      </c>
      <c r="AL19" s="90">
        <f>AK19-AK18</f>
        <v>3935</v>
      </c>
      <c r="AM19" s="222">
        <v>59521</v>
      </c>
      <c r="AN19" s="76">
        <f>AM19-AM18</f>
        <v>473</v>
      </c>
      <c r="AO19" s="263">
        <v>9413</v>
      </c>
      <c r="AP19" s="314">
        <f t="shared" si="12"/>
        <v>67</v>
      </c>
      <c r="AQ19" s="76">
        <v>85992</v>
      </c>
      <c r="AR19" s="227">
        <f t="shared" si="15"/>
        <v>192</v>
      </c>
      <c r="AS19" s="76">
        <v>115805</v>
      </c>
      <c r="AT19" s="227">
        <f t="shared" si="13"/>
        <v>942</v>
      </c>
      <c r="AU19" s="49">
        <f t="shared" si="2"/>
        <v>1134</v>
      </c>
      <c r="AV19" s="17" t="s">
        <v>72</v>
      </c>
      <c r="AX19" s="79"/>
      <c r="AY19" s="74"/>
      <c r="AZ19" s="74"/>
    </row>
    <row r="20" spans="2:52" x14ac:dyDescent="0.25">
      <c r="B20" s="8">
        <f t="shared" si="14"/>
        <v>44848</v>
      </c>
      <c r="C20" s="42" t="str">
        <f t="shared" si="3"/>
        <v>Fri</v>
      </c>
      <c r="D20" s="287">
        <v>0.56999999999999995</v>
      </c>
      <c r="E20" s="287">
        <v>0.68</v>
      </c>
      <c r="F20" s="287">
        <v>0.62</v>
      </c>
      <c r="G20" s="143">
        <f t="shared" si="4"/>
        <v>15614.5</v>
      </c>
      <c r="H20" s="276">
        <v>0.55800000000000005</v>
      </c>
      <c r="I20" s="95"/>
      <c r="J20" s="22">
        <f>I20-I19</f>
        <v>0</v>
      </c>
      <c r="K20" s="309">
        <v>2673656</v>
      </c>
      <c r="L20" s="127">
        <f>K20-K19</f>
        <v>12243</v>
      </c>
      <c r="M20" s="26"/>
      <c r="N20" s="26"/>
      <c r="O20" s="22"/>
      <c r="P20" s="22">
        <v>85992</v>
      </c>
      <c r="Q20" s="21">
        <f>P20-P19</f>
        <v>0</v>
      </c>
      <c r="R20" s="22">
        <v>115805</v>
      </c>
      <c r="S20" s="21">
        <f>R20-R19</f>
        <v>0</v>
      </c>
      <c r="T20" s="109">
        <v>0</v>
      </c>
      <c r="U20" s="109">
        <v>0</v>
      </c>
      <c r="V20" s="105">
        <f t="shared" si="17"/>
        <v>0</v>
      </c>
      <c r="W20" s="109">
        <v>0</v>
      </c>
      <c r="X20" s="103">
        <v>23289</v>
      </c>
      <c r="Y20" s="49">
        <f t="shared" si="1"/>
        <v>23289</v>
      </c>
      <c r="Z20" s="44">
        <v>0</v>
      </c>
      <c r="AA20" s="44">
        <v>0</v>
      </c>
      <c r="AB20" s="259">
        <v>0.5</v>
      </c>
      <c r="AC20" s="106">
        <v>24.019999999999982</v>
      </c>
      <c r="AD20" s="244">
        <v>228.88</v>
      </c>
      <c r="AE20" s="243">
        <f>AD20+AE19</f>
        <v>2121.36</v>
      </c>
      <c r="AF20" s="191">
        <v>16.420000000000002</v>
      </c>
      <c r="AG20" s="320"/>
      <c r="AH20" s="321">
        <v>44</v>
      </c>
      <c r="AI20" s="135">
        <v>228.88</v>
      </c>
      <c r="AJ20" s="7">
        <f t="shared" si="10"/>
        <v>2316.5200000000004</v>
      </c>
      <c r="AK20" s="208">
        <v>425404</v>
      </c>
      <c r="AL20" s="90">
        <f>AK20-AK19</f>
        <v>3639</v>
      </c>
      <c r="AM20" s="222">
        <v>60086</v>
      </c>
      <c r="AN20" s="76">
        <f>AM20-AM19</f>
        <v>565</v>
      </c>
      <c r="AO20" s="263">
        <v>9448</v>
      </c>
      <c r="AP20" s="314">
        <f t="shared" si="12"/>
        <v>35</v>
      </c>
      <c r="AQ20" s="76">
        <v>85992</v>
      </c>
      <c r="AR20" s="227">
        <f t="shared" si="15"/>
        <v>0</v>
      </c>
      <c r="AS20" s="76">
        <v>115805</v>
      </c>
      <c r="AT20" s="227">
        <f t="shared" si="13"/>
        <v>0</v>
      </c>
      <c r="AU20" s="49">
        <f t="shared" si="2"/>
        <v>0</v>
      </c>
      <c r="AV20" s="17">
        <v>2</v>
      </c>
      <c r="AX20" s="79"/>
      <c r="AY20" s="74"/>
      <c r="AZ20" s="74"/>
    </row>
    <row r="21" spans="2:52" x14ac:dyDescent="0.25">
      <c r="B21" s="8">
        <f t="shared" si="14"/>
        <v>44849</v>
      </c>
      <c r="C21" s="42" t="str">
        <f t="shared" si="3"/>
        <v>Sat</v>
      </c>
      <c r="D21" s="285">
        <v>0.18</v>
      </c>
      <c r="E21" s="285">
        <v>0.14000000000000001</v>
      </c>
      <c r="F21" s="285">
        <v>0.23</v>
      </c>
      <c r="G21" s="143">
        <f t="shared" si="4"/>
        <v>4592.5</v>
      </c>
      <c r="H21" s="277">
        <v>0.55700000000000005</v>
      </c>
      <c r="I21" s="95"/>
      <c r="J21" s="22">
        <f t="shared" si="5"/>
        <v>0</v>
      </c>
      <c r="K21" s="308">
        <v>2716227</v>
      </c>
      <c r="L21" s="127">
        <f t="shared" si="9"/>
        <v>42571</v>
      </c>
      <c r="M21" s="26"/>
      <c r="N21" s="26"/>
      <c r="O21" s="22"/>
      <c r="P21" s="22">
        <v>85992</v>
      </c>
      <c r="Q21" s="21">
        <f t="shared" si="6"/>
        <v>0</v>
      </c>
      <c r="R21" s="22">
        <v>115805</v>
      </c>
      <c r="S21" s="21">
        <f t="shared" si="7"/>
        <v>0</v>
      </c>
      <c r="T21" s="109">
        <v>0</v>
      </c>
      <c r="U21" s="109">
        <v>0</v>
      </c>
      <c r="V21" s="105">
        <f t="shared" si="17"/>
        <v>0</v>
      </c>
      <c r="W21" s="109">
        <v>0</v>
      </c>
      <c r="X21" s="103">
        <v>31525</v>
      </c>
      <c r="Y21" s="49">
        <f t="shared" si="1"/>
        <v>31525</v>
      </c>
      <c r="Z21" s="44">
        <v>0</v>
      </c>
      <c r="AA21" s="44">
        <v>0</v>
      </c>
      <c r="AB21" s="259">
        <v>0</v>
      </c>
      <c r="AC21" s="106">
        <v>24.0300000000002</v>
      </c>
      <c r="AD21" s="244">
        <v>161.78</v>
      </c>
      <c r="AE21" s="243">
        <f t="shared" si="16"/>
        <v>2283.1400000000003</v>
      </c>
      <c r="AF21" s="191">
        <v>17.420000000000002</v>
      </c>
      <c r="AG21" s="320"/>
      <c r="AH21" s="321">
        <v>40.200000000000003</v>
      </c>
      <c r="AI21" s="135">
        <v>161.78</v>
      </c>
      <c r="AJ21" s="7">
        <f t="shared" si="10"/>
        <v>2478.3000000000006</v>
      </c>
      <c r="AK21" s="208">
        <v>428615</v>
      </c>
      <c r="AL21" s="90">
        <f t="shared" si="11"/>
        <v>3211</v>
      </c>
      <c r="AM21" s="222">
        <v>60793</v>
      </c>
      <c r="AN21" s="76">
        <f t="shared" si="8"/>
        <v>707</v>
      </c>
      <c r="AO21" s="263">
        <v>9512</v>
      </c>
      <c r="AP21" s="314">
        <f t="shared" si="12"/>
        <v>64</v>
      </c>
      <c r="AQ21" s="76">
        <v>85992</v>
      </c>
      <c r="AR21" s="227">
        <f t="shared" si="15"/>
        <v>0</v>
      </c>
      <c r="AS21" s="76">
        <v>115811</v>
      </c>
      <c r="AT21" s="227">
        <f t="shared" si="13"/>
        <v>6</v>
      </c>
      <c r="AU21" s="49">
        <f t="shared" si="2"/>
        <v>6</v>
      </c>
      <c r="AV21" s="17">
        <v>2</v>
      </c>
      <c r="AY21" s="74"/>
      <c r="AZ21" s="74"/>
    </row>
    <row r="22" spans="2:52" x14ac:dyDescent="0.25">
      <c r="B22" s="8">
        <f t="shared" si="14"/>
        <v>44850</v>
      </c>
      <c r="C22" s="42" t="str">
        <f t="shared" si="3"/>
        <v>Sun</v>
      </c>
      <c r="D22" s="288">
        <v>0.93</v>
      </c>
      <c r="E22" s="288">
        <v>0.71</v>
      </c>
      <c r="F22" s="288">
        <v>0.86</v>
      </c>
      <c r="G22" s="143">
        <f t="shared" si="4"/>
        <v>20875</v>
      </c>
      <c r="H22" s="277">
        <v>0.55500000000000005</v>
      </c>
      <c r="I22" s="95"/>
      <c r="J22" s="22">
        <f t="shared" si="5"/>
        <v>0</v>
      </c>
      <c r="K22" s="308">
        <v>2722633</v>
      </c>
      <c r="L22" s="127">
        <f t="shared" si="9"/>
        <v>6406</v>
      </c>
      <c r="M22" s="26"/>
      <c r="N22" s="26"/>
      <c r="O22" s="22"/>
      <c r="P22" s="22">
        <v>85992</v>
      </c>
      <c r="Q22" s="21">
        <f t="shared" si="6"/>
        <v>0</v>
      </c>
      <c r="R22" s="22">
        <v>115805</v>
      </c>
      <c r="S22" s="21">
        <f t="shared" si="7"/>
        <v>0</v>
      </c>
      <c r="T22" s="109">
        <v>0</v>
      </c>
      <c r="U22" s="109">
        <v>0</v>
      </c>
      <c r="V22" s="105">
        <f t="shared" si="17"/>
        <v>0</v>
      </c>
      <c r="W22" s="109">
        <v>0</v>
      </c>
      <c r="X22" s="103">
        <v>6406</v>
      </c>
      <c r="Y22" s="49">
        <f t="shared" si="1"/>
        <v>6406</v>
      </c>
      <c r="Z22" s="44">
        <v>0</v>
      </c>
      <c r="AA22" s="44">
        <v>0</v>
      </c>
      <c r="AB22" s="259">
        <v>0</v>
      </c>
      <c r="AC22" s="106">
        <v>5.4200000000000728</v>
      </c>
      <c r="AD22" s="244">
        <v>0</v>
      </c>
      <c r="AE22" s="243">
        <f t="shared" si="16"/>
        <v>2283.1400000000003</v>
      </c>
      <c r="AF22" s="191" t="s">
        <v>83</v>
      </c>
      <c r="AG22" s="320"/>
      <c r="AH22" s="321">
        <v>32.5</v>
      </c>
      <c r="AI22" s="134">
        <v>0</v>
      </c>
      <c r="AJ22" s="7">
        <f t="shared" si="10"/>
        <v>2478.3000000000006</v>
      </c>
      <c r="AK22" s="208">
        <v>430659</v>
      </c>
      <c r="AL22" s="90">
        <f t="shared" si="11"/>
        <v>2044</v>
      </c>
      <c r="AM22" s="222">
        <v>61264</v>
      </c>
      <c r="AN22" s="76">
        <f t="shared" si="8"/>
        <v>471</v>
      </c>
      <c r="AO22" s="263">
        <v>9551</v>
      </c>
      <c r="AP22" s="314">
        <f t="shared" si="12"/>
        <v>39</v>
      </c>
      <c r="AQ22" s="76">
        <v>85992</v>
      </c>
      <c r="AR22" s="227">
        <f t="shared" si="15"/>
        <v>0</v>
      </c>
      <c r="AS22" s="76">
        <v>115811</v>
      </c>
      <c r="AT22" s="227">
        <f t="shared" si="13"/>
        <v>0</v>
      </c>
      <c r="AU22" s="49">
        <f t="shared" si="2"/>
        <v>0</v>
      </c>
      <c r="AV22" s="17" t="s">
        <v>54</v>
      </c>
      <c r="AY22" s="74"/>
      <c r="AZ22" s="74"/>
    </row>
    <row r="23" spans="2:52" x14ac:dyDescent="0.25">
      <c r="B23" s="8">
        <f t="shared" si="14"/>
        <v>44851</v>
      </c>
      <c r="C23" s="42" t="str">
        <f t="shared" si="3"/>
        <v>Mon</v>
      </c>
      <c r="D23" s="289">
        <v>0.78</v>
      </c>
      <c r="E23" s="289">
        <v>0.48</v>
      </c>
      <c r="F23" s="289">
        <v>0.49</v>
      </c>
      <c r="G23" s="143">
        <f>SUMPRODUCT(D23:F23,$D$6:$F$6)</f>
        <v>14612.5</v>
      </c>
      <c r="H23" s="278">
        <v>0.55300000000000005</v>
      </c>
      <c r="I23" s="95"/>
      <c r="J23" s="22">
        <f t="shared" si="5"/>
        <v>0</v>
      </c>
      <c r="K23" s="308">
        <v>2741671</v>
      </c>
      <c r="L23" s="127">
        <f t="shared" si="9"/>
        <v>19038</v>
      </c>
      <c r="M23" s="26"/>
      <c r="N23" s="26"/>
      <c r="O23" s="22"/>
      <c r="P23" s="22">
        <v>85992</v>
      </c>
      <c r="Q23" s="21">
        <f t="shared" si="6"/>
        <v>0</v>
      </c>
      <c r="R23" s="22">
        <v>115805</v>
      </c>
      <c r="S23" s="21">
        <f t="shared" si="7"/>
        <v>0</v>
      </c>
      <c r="T23" s="109">
        <v>0</v>
      </c>
      <c r="U23" s="109">
        <v>0</v>
      </c>
      <c r="V23" s="105">
        <f t="shared" si="17"/>
        <v>0</v>
      </c>
      <c r="W23" s="109">
        <v>0</v>
      </c>
      <c r="X23" s="103">
        <v>19038</v>
      </c>
      <c r="Y23" s="49">
        <f t="shared" si="1"/>
        <v>19038</v>
      </c>
      <c r="Z23" s="44">
        <v>0</v>
      </c>
      <c r="AA23" s="44">
        <v>0</v>
      </c>
      <c r="AB23" s="259">
        <v>0</v>
      </c>
      <c r="AC23" s="106">
        <v>23.609999999999673</v>
      </c>
      <c r="AD23" s="244">
        <v>0</v>
      </c>
      <c r="AE23" s="243">
        <f t="shared" si="16"/>
        <v>2283.1400000000003</v>
      </c>
      <c r="AF23" s="191" t="s">
        <v>83</v>
      </c>
      <c r="AG23" s="320"/>
      <c r="AH23" s="321">
        <v>31.1</v>
      </c>
      <c r="AI23" s="134">
        <v>0</v>
      </c>
      <c r="AJ23" s="7">
        <f t="shared" si="10"/>
        <v>2478.3000000000006</v>
      </c>
      <c r="AK23" s="208">
        <v>432101</v>
      </c>
      <c r="AL23" s="90">
        <f t="shared" si="11"/>
        <v>1442</v>
      </c>
      <c r="AM23" s="222">
        <v>61657</v>
      </c>
      <c r="AN23" s="76">
        <f t="shared" si="8"/>
        <v>393</v>
      </c>
      <c r="AO23" s="263">
        <v>9597</v>
      </c>
      <c r="AP23" s="314">
        <f t="shared" si="12"/>
        <v>46</v>
      </c>
      <c r="AQ23" s="76">
        <v>85992</v>
      </c>
      <c r="AR23" s="227">
        <f t="shared" si="15"/>
        <v>0</v>
      </c>
      <c r="AS23" s="76">
        <v>115811</v>
      </c>
      <c r="AT23" s="227">
        <f t="shared" si="13"/>
        <v>0</v>
      </c>
      <c r="AU23" s="49">
        <f t="shared" si="2"/>
        <v>0</v>
      </c>
      <c r="AV23" s="17" t="s">
        <v>54</v>
      </c>
    </row>
    <row r="24" spans="2:52" x14ac:dyDescent="0.25">
      <c r="B24" s="8">
        <f t="shared" si="14"/>
        <v>44852</v>
      </c>
      <c r="C24" s="42" t="str">
        <f t="shared" si="3"/>
        <v>Tue</v>
      </c>
      <c r="D24" s="289">
        <v>0.52</v>
      </c>
      <c r="E24" s="289">
        <v>0.3</v>
      </c>
      <c r="F24" s="289">
        <v>0.42</v>
      </c>
      <c r="G24" s="143">
        <f t="shared" si="4"/>
        <v>10354</v>
      </c>
      <c r="H24" s="278">
        <v>0.55600000000000005</v>
      </c>
      <c r="I24" s="95"/>
      <c r="J24" s="22">
        <f t="shared" si="5"/>
        <v>0</v>
      </c>
      <c r="K24" s="308">
        <v>2756121</v>
      </c>
      <c r="L24" s="127">
        <f t="shared" si="9"/>
        <v>14450</v>
      </c>
      <c r="M24" s="26"/>
      <c r="N24" s="26"/>
      <c r="O24" s="22"/>
      <c r="P24" s="22">
        <v>85992</v>
      </c>
      <c r="Q24" s="21">
        <f t="shared" si="6"/>
        <v>0</v>
      </c>
      <c r="R24" s="22">
        <v>115805</v>
      </c>
      <c r="S24" s="21">
        <f t="shared" si="7"/>
        <v>0</v>
      </c>
      <c r="T24" s="109">
        <v>0</v>
      </c>
      <c r="U24" s="109">
        <v>0</v>
      </c>
      <c r="V24" s="105">
        <f t="shared" si="17"/>
        <v>0</v>
      </c>
      <c r="W24" s="109">
        <v>0</v>
      </c>
      <c r="X24" s="103">
        <v>14450</v>
      </c>
      <c r="Y24" s="49">
        <f t="shared" si="1"/>
        <v>14450</v>
      </c>
      <c r="Z24" s="44">
        <v>0</v>
      </c>
      <c r="AA24" s="44">
        <v>0</v>
      </c>
      <c r="AB24" s="259">
        <v>0</v>
      </c>
      <c r="AC24" s="106">
        <v>23.550000000000182</v>
      </c>
      <c r="AD24" s="244">
        <v>297.17</v>
      </c>
      <c r="AE24" s="243">
        <f t="shared" si="16"/>
        <v>2580.3100000000004</v>
      </c>
      <c r="AF24" s="191">
        <v>16.420000000000002</v>
      </c>
      <c r="AG24" s="320"/>
      <c r="AH24" s="321">
        <v>33.299999999999997</v>
      </c>
      <c r="AI24" s="102">
        <v>297.12</v>
      </c>
      <c r="AJ24" s="7">
        <f t="shared" si="10"/>
        <v>2775.4200000000005</v>
      </c>
      <c r="AK24" s="208">
        <v>434590</v>
      </c>
      <c r="AL24" s="90">
        <f t="shared" si="11"/>
        <v>2489</v>
      </c>
      <c r="AM24" s="222">
        <v>62226</v>
      </c>
      <c r="AN24" s="76">
        <f t="shared" si="8"/>
        <v>569</v>
      </c>
      <c r="AO24" s="263">
        <v>9626</v>
      </c>
      <c r="AP24" s="314">
        <f t="shared" si="12"/>
        <v>29</v>
      </c>
      <c r="AQ24" s="76">
        <v>85992</v>
      </c>
      <c r="AR24" s="227">
        <f t="shared" si="15"/>
        <v>0</v>
      </c>
      <c r="AS24" s="76">
        <v>115811</v>
      </c>
      <c r="AT24" s="227">
        <f t="shared" si="13"/>
        <v>0</v>
      </c>
      <c r="AU24" s="49">
        <f t="shared" si="2"/>
        <v>0</v>
      </c>
      <c r="AV24" s="17">
        <v>2</v>
      </c>
      <c r="AX24" s="74"/>
    </row>
    <row r="25" spans="2:52" x14ac:dyDescent="0.25">
      <c r="B25" s="8">
        <f t="shared" si="14"/>
        <v>44853</v>
      </c>
      <c r="C25" s="42" t="str">
        <f t="shared" si="3"/>
        <v>Wed</v>
      </c>
      <c r="D25" s="289">
        <v>0.71</v>
      </c>
      <c r="E25" s="289">
        <v>0.51</v>
      </c>
      <c r="F25" s="289">
        <v>0.65</v>
      </c>
      <c r="G25" s="143">
        <f t="shared" si="4"/>
        <v>15614.5</v>
      </c>
      <c r="H25" s="278">
        <v>0.55800000000000005</v>
      </c>
      <c r="I25" s="95"/>
      <c r="J25" s="22">
        <f t="shared" si="5"/>
        <v>0</v>
      </c>
      <c r="K25" s="308">
        <v>2768106</v>
      </c>
      <c r="L25" s="127">
        <f t="shared" si="9"/>
        <v>11985</v>
      </c>
      <c r="M25" s="26"/>
      <c r="N25" s="26"/>
      <c r="O25" s="22"/>
      <c r="P25" s="22">
        <v>85992</v>
      </c>
      <c r="Q25" s="21">
        <f t="shared" si="6"/>
        <v>0</v>
      </c>
      <c r="R25" s="22">
        <v>115811</v>
      </c>
      <c r="S25" s="21">
        <f t="shared" si="7"/>
        <v>6</v>
      </c>
      <c r="T25" s="109">
        <v>0</v>
      </c>
      <c r="U25" s="109">
        <v>0</v>
      </c>
      <c r="V25" s="105">
        <f>SUM(T25:U25)</f>
        <v>0</v>
      </c>
      <c r="W25" s="109">
        <v>0</v>
      </c>
      <c r="X25" s="103">
        <v>11985</v>
      </c>
      <c r="Y25" s="49">
        <f t="shared" si="1"/>
        <v>11985</v>
      </c>
      <c r="Z25" s="44">
        <v>0</v>
      </c>
      <c r="AA25" s="44">
        <v>0</v>
      </c>
      <c r="AB25" s="259">
        <v>1.4499999999999993</v>
      </c>
      <c r="AC25" s="106">
        <v>21.420000000000073</v>
      </c>
      <c r="AD25" s="244">
        <v>240.18</v>
      </c>
      <c r="AE25" s="243">
        <f t="shared" si="16"/>
        <v>2820.4900000000002</v>
      </c>
      <c r="AF25" s="191">
        <v>16.850000000000001</v>
      </c>
      <c r="AG25" s="320"/>
      <c r="AH25" s="321">
        <v>42.5</v>
      </c>
      <c r="AI25" s="102">
        <v>240.18</v>
      </c>
      <c r="AJ25" s="7">
        <f t="shared" si="10"/>
        <v>3015.6000000000004</v>
      </c>
      <c r="AK25" s="208">
        <v>437504</v>
      </c>
      <c r="AL25" s="90">
        <f>AK25-AK24</f>
        <v>2914</v>
      </c>
      <c r="AM25" s="222">
        <v>62691</v>
      </c>
      <c r="AN25" s="76">
        <f t="shared" si="8"/>
        <v>465</v>
      </c>
      <c r="AO25" s="263">
        <v>9690</v>
      </c>
      <c r="AP25" s="314">
        <f t="shared" si="12"/>
        <v>64</v>
      </c>
      <c r="AQ25" s="76">
        <v>85992</v>
      </c>
      <c r="AR25" s="227">
        <f t="shared" si="15"/>
        <v>0</v>
      </c>
      <c r="AS25" s="76">
        <v>115811</v>
      </c>
      <c r="AT25" s="227">
        <f t="shared" si="13"/>
        <v>0</v>
      </c>
      <c r="AU25" s="49">
        <f t="shared" si="2"/>
        <v>0</v>
      </c>
      <c r="AV25" s="17">
        <v>2</v>
      </c>
      <c r="AX25" s="74"/>
    </row>
    <row r="26" spans="2:52" x14ac:dyDescent="0.25">
      <c r="B26" s="8">
        <f t="shared" si="14"/>
        <v>44854</v>
      </c>
      <c r="C26" s="42" t="str">
        <f t="shared" si="3"/>
        <v>Thu</v>
      </c>
      <c r="D26" s="289">
        <v>0.75</v>
      </c>
      <c r="E26" s="289">
        <v>0.53</v>
      </c>
      <c r="F26" s="289">
        <v>0.63</v>
      </c>
      <c r="G26" s="143">
        <f t="shared" si="4"/>
        <v>15948.5</v>
      </c>
      <c r="H26" s="278">
        <v>0.55600000000000005</v>
      </c>
      <c r="I26" s="95"/>
      <c r="J26" s="22">
        <f t="shared" si="5"/>
        <v>0</v>
      </c>
      <c r="K26" s="308">
        <v>2784501</v>
      </c>
      <c r="L26" s="127">
        <f t="shared" si="9"/>
        <v>16395</v>
      </c>
      <c r="M26" s="26"/>
      <c r="N26" s="26"/>
      <c r="O26" s="22"/>
      <c r="P26" s="22">
        <v>85992</v>
      </c>
      <c r="Q26" s="21">
        <f t="shared" si="6"/>
        <v>0</v>
      </c>
      <c r="R26" s="22">
        <v>115811</v>
      </c>
      <c r="S26" s="21">
        <f t="shared" si="7"/>
        <v>0</v>
      </c>
      <c r="T26" s="109">
        <v>0</v>
      </c>
      <c r="U26" s="109">
        <v>0</v>
      </c>
      <c r="V26" s="105">
        <f>SUM(T26:U26)</f>
        <v>0</v>
      </c>
      <c r="W26" s="109">
        <v>0</v>
      </c>
      <c r="X26" s="103">
        <v>16395</v>
      </c>
      <c r="Y26" s="49">
        <f t="shared" si="1"/>
        <v>16395</v>
      </c>
      <c r="Z26" s="44">
        <v>0</v>
      </c>
      <c r="AA26" s="44">
        <v>0</v>
      </c>
      <c r="AB26" s="259">
        <v>0.67000000000000171</v>
      </c>
      <c r="AC26" s="106">
        <v>20.349999999999909</v>
      </c>
      <c r="AD26" s="244">
        <v>259.83</v>
      </c>
      <c r="AE26" s="243">
        <f t="shared" si="16"/>
        <v>3080.32</v>
      </c>
      <c r="AF26" s="191">
        <v>15.86</v>
      </c>
      <c r="AG26" s="320"/>
      <c r="AH26" s="321">
        <v>46.8</v>
      </c>
      <c r="AI26" s="328">
        <v>259.83</v>
      </c>
      <c r="AJ26" s="7">
        <f t="shared" si="10"/>
        <v>3275.4300000000003</v>
      </c>
      <c r="AK26" s="208">
        <v>440759</v>
      </c>
      <c r="AL26" s="90">
        <f t="shared" si="11"/>
        <v>3255</v>
      </c>
      <c r="AM26" s="222">
        <v>63102</v>
      </c>
      <c r="AN26" s="76">
        <f t="shared" si="8"/>
        <v>411</v>
      </c>
      <c r="AO26" s="263">
        <v>9717</v>
      </c>
      <c r="AP26" s="314">
        <f t="shared" si="12"/>
        <v>27</v>
      </c>
      <c r="AQ26" s="76">
        <v>85992</v>
      </c>
      <c r="AR26" s="227">
        <f t="shared" si="15"/>
        <v>0</v>
      </c>
      <c r="AS26" s="76">
        <v>115811</v>
      </c>
      <c r="AT26" s="227">
        <f t="shared" si="13"/>
        <v>0</v>
      </c>
      <c r="AU26" s="49">
        <f t="shared" si="2"/>
        <v>0</v>
      </c>
      <c r="AV26" s="17" t="s">
        <v>72</v>
      </c>
      <c r="AX26" s="74"/>
    </row>
    <row r="27" spans="2:52" x14ac:dyDescent="0.25">
      <c r="B27" s="8">
        <f t="shared" si="14"/>
        <v>44855</v>
      </c>
      <c r="C27" s="42" t="str">
        <f t="shared" si="3"/>
        <v>Fri</v>
      </c>
      <c r="D27" s="289">
        <v>0.68</v>
      </c>
      <c r="E27" s="289">
        <v>0.51</v>
      </c>
      <c r="F27" s="289">
        <v>0.62</v>
      </c>
      <c r="G27" s="143">
        <f>SUMPRODUCT(D27:F27,$D$6:$F$6)</f>
        <v>15113.5</v>
      </c>
      <c r="H27" s="278">
        <v>0.55800000000000005</v>
      </c>
      <c r="I27" s="95"/>
      <c r="J27" s="22">
        <f>I27-I26</f>
        <v>0</v>
      </c>
      <c r="K27" s="308">
        <v>2800567</v>
      </c>
      <c r="L27" s="127">
        <f>K27-K26</f>
        <v>16066</v>
      </c>
      <c r="M27" s="26"/>
      <c r="N27" s="26"/>
      <c r="O27" s="22"/>
      <c r="P27" s="22">
        <v>85992</v>
      </c>
      <c r="Q27" s="21">
        <f>P27-P26</f>
        <v>0</v>
      </c>
      <c r="R27" s="22">
        <v>115811</v>
      </c>
      <c r="S27" s="21">
        <f>R27-R26</f>
        <v>0</v>
      </c>
      <c r="T27" s="103">
        <v>430</v>
      </c>
      <c r="U27" s="109">
        <v>0</v>
      </c>
      <c r="V27" s="107">
        <f t="shared" ref="V27:V37" si="18">SUM(T27:U27)</f>
        <v>430</v>
      </c>
      <c r="W27" s="109">
        <v>0</v>
      </c>
      <c r="X27" s="103">
        <v>16066</v>
      </c>
      <c r="Y27" s="49">
        <f t="shared" si="1"/>
        <v>16066</v>
      </c>
      <c r="Z27" s="44">
        <v>1.65</v>
      </c>
      <c r="AA27" s="44">
        <v>0</v>
      </c>
      <c r="AB27" s="259">
        <v>0.16999999999999815</v>
      </c>
      <c r="AC27" s="106">
        <v>24.119999999999891</v>
      </c>
      <c r="AD27" s="244">
        <v>329.26</v>
      </c>
      <c r="AE27" s="243">
        <f>AD27+AE26</f>
        <v>3409.58</v>
      </c>
      <c r="AF27" s="191">
        <v>16.18</v>
      </c>
      <c r="AG27" s="320"/>
      <c r="AH27" s="321">
        <v>54.9</v>
      </c>
      <c r="AI27" s="136">
        <v>329.26</v>
      </c>
      <c r="AJ27" s="7">
        <f t="shared" si="10"/>
        <v>3604.6900000000005</v>
      </c>
      <c r="AK27" s="208">
        <v>443376</v>
      </c>
      <c r="AL27" s="90">
        <f>AK27-AK26</f>
        <v>2617</v>
      </c>
      <c r="AM27" s="222">
        <v>63620</v>
      </c>
      <c r="AN27" s="76">
        <f>AM27-AM26</f>
        <v>518</v>
      </c>
      <c r="AO27" s="263">
        <v>9750</v>
      </c>
      <c r="AP27" s="314">
        <f t="shared" si="12"/>
        <v>33</v>
      </c>
      <c r="AQ27" s="76">
        <v>85992</v>
      </c>
      <c r="AR27" s="227">
        <f t="shared" si="15"/>
        <v>0</v>
      </c>
      <c r="AS27" s="76">
        <v>115811</v>
      </c>
      <c r="AT27" s="227">
        <f t="shared" si="13"/>
        <v>0</v>
      </c>
      <c r="AU27" s="49">
        <f t="shared" si="2"/>
        <v>0</v>
      </c>
      <c r="AV27" s="17">
        <v>2</v>
      </c>
      <c r="AX27" s="74"/>
    </row>
    <row r="28" spans="2:52" x14ac:dyDescent="0.25">
      <c r="B28" s="8">
        <f t="shared" si="14"/>
        <v>44856</v>
      </c>
      <c r="C28" s="42" t="str">
        <f t="shared" si="3"/>
        <v>Sat</v>
      </c>
      <c r="D28" s="289">
        <v>0.16</v>
      </c>
      <c r="E28" s="289">
        <v>0.13</v>
      </c>
      <c r="F28" s="289">
        <v>0.25</v>
      </c>
      <c r="G28" s="143">
        <f t="shared" si="4"/>
        <v>4509</v>
      </c>
      <c r="H28" s="278">
        <v>0.55600000000000005</v>
      </c>
      <c r="I28" s="95"/>
      <c r="J28" s="22">
        <f>I28-I27</f>
        <v>0</v>
      </c>
      <c r="K28" s="308">
        <v>2824958</v>
      </c>
      <c r="L28" s="127">
        <f>K28-K27</f>
        <v>24391</v>
      </c>
      <c r="M28" s="26"/>
      <c r="N28" s="26"/>
      <c r="O28" s="22"/>
      <c r="P28" s="22">
        <v>85992</v>
      </c>
      <c r="Q28" s="21">
        <f>P28-P27</f>
        <v>0</v>
      </c>
      <c r="R28" s="22">
        <v>115811</v>
      </c>
      <c r="S28" s="21">
        <f>R28-R27</f>
        <v>0</v>
      </c>
      <c r="T28" s="109">
        <v>0</v>
      </c>
      <c r="U28" s="109">
        <v>0</v>
      </c>
      <c r="V28" s="107">
        <f t="shared" si="18"/>
        <v>0</v>
      </c>
      <c r="W28" s="109">
        <v>0</v>
      </c>
      <c r="X28" s="103">
        <v>24391</v>
      </c>
      <c r="Y28" s="49">
        <f t="shared" si="1"/>
        <v>24391</v>
      </c>
      <c r="Z28" s="44">
        <v>0</v>
      </c>
      <c r="AA28" s="44">
        <v>0</v>
      </c>
      <c r="AB28" s="259">
        <v>0</v>
      </c>
      <c r="AC28" s="106">
        <v>23.990000000000236</v>
      </c>
      <c r="AD28" s="244">
        <v>332.24</v>
      </c>
      <c r="AE28" s="243">
        <f>AD28+AE27</f>
        <v>3741.8199999999997</v>
      </c>
      <c r="AF28" s="191">
        <v>15.72</v>
      </c>
      <c r="AG28" s="320">
        <v>17.872</v>
      </c>
      <c r="AH28" s="321">
        <v>63.1</v>
      </c>
      <c r="AI28" s="136">
        <v>332.24</v>
      </c>
      <c r="AJ28" s="7">
        <f t="shared" si="10"/>
        <v>3936.9300000000003</v>
      </c>
      <c r="AK28" s="208">
        <v>445395</v>
      </c>
      <c r="AL28" s="90">
        <f>AK28-AK27</f>
        <v>2019</v>
      </c>
      <c r="AM28" s="222">
        <v>64105</v>
      </c>
      <c r="AN28" s="76">
        <f>AM28-AM27</f>
        <v>485</v>
      </c>
      <c r="AO28" s="263">
        <v>9771</v>
      </c>
      <c r="AP28" s="314">
        <f t="shared" si="12"/>
        <v>21</v>
      </c>
      <c r="AQ28" s="76">
        <v>85992</v>
      </c>
      <c r="AR28" s="227">
        <f t="shared" si="15"/>
        <v>0</v>
      </c>
      <c r="AS28" s="76">
        <v>115811</v>
      </c>
      <c r="AT28" s="227">
        <f t="shared" ref="AT28:AT35" si="19">AS28-AS27</f>
        <v>0</v>
      </c>
      <c r="AU28" s="49">
        <f t="shared" si="2"/>
        <v>0</v>
      </c>
      <c r="AV28" s="17">
        <v>2</v>
      </c>
      <c r="AX28" s="74"/>
    </row>
    <row r="29" spans="2:52" x14ac:dyDescent="0.25">
      <c r="B29" s="8">
        <f t="shared" si="14"/>
        <v>44857</v>
      </c>
      <c r="C29" s="42" t="str">
        <f t="shared" si="3"/>
        <v>Sun</v>
      </c>
      <c r="D29" s="289">
        <v>1</v>
      </c>
      <c r="E29" s="289">
        <v>0.67</v>
      </c>
      <c r="F29" s="289">
        <v>0.97</v>
      </c>
      <c r="G29" s="143">
        <f t="shared" si="4"/>
        <v>22044</v>
      </c>
      <c r="H29" s="278">
        <v>0.55600000000000005</v>
      </c>
      <c r="I29" s="95"/>
      <c r="J29" s="22">
        <f t="shared" si="5"/>
        <v>0</v>
      </c>
      <c r="K29" s="308">
        <v>2829385</v>
      </c>
      <c r="L29" s="127">
        <f t="shared" si="9"/>
        <v>4427</v>
      </c>
      <c r="M29" s="26"/>
      <c r="N29" s="26"/>
      <c r="O29" s="22"/>
      <c r="P29" s="22">
        <v>85992</v>
      </c>
      <c r="Q29" s="21">
        <f t="shared" si="6"/>
        <v>0</v>
      </c>
      <c r="R29" s="22">
        <v>115811</v>
      </c>
      <c r="S29" s="330">
        <f t="shared" si="7"/>
        <v>0</v>
      </c>
      <c r="T29" s="109">
        <v>0</v>
      </c>
      <c r="U29" s="109">
        <v>0</v>
      </c>
      <c r="V29" s="107">
        <f t="shared" si="18"/>
        <v>0</v>
      </c>
      <c r="W29" s="109">
        <v>0</v>
      </c>
      <c r="X29" s="103">
        <v>4544</v>
      </c>
      <c r="Y29" s="49">
        <f t="shared" si="1"/>
        <v>4544</v>
      </c>
      <c r="Z29" s="44">
        <v>0</v>
      </c>
      <c r="AA29" s="44">
        <v>0</v>
      </c>
      <c r="AB29" s="259">
        <v>0.60999999999999943</v>
      </c>
      <c r="AC29" s="106">
        <v>5.1199999999998909</v>
      </c>
      <c r="AD29" s="244">
        <v>0</v>
      </c>
      <c r="AE29" s="243">
        <f t="shared" si="16"/>
        <v>3741.8199999999997</v>
      </c>
      <c r="AF29" s="191" t="s">
        <v>83</v>
      </c>
      <c r="AG29" s="320"/>
      <c r="AH29" s="321">
        <v>55.4</v>
      </c>
      <c r="AI29" s="136">
        <v>0</v>
      </c>
      <c r="AJ29" s="7">
        <f t="shared" si="10"/>
        <v>3936.9300000000003</v>
      </c>
      <c r="AK29" s="208">
        <v>449236</v>
      </c>
      <c r="AL29" s="90">
        <f t="shared" si="11"/>
        <v>3841</v>
      </c>
      <c r="AM29" s="219">
        <v>64526</v>
      </c>
      <c r="AN29" s="76">
        <f t="shared" si="8"/>
        <v>421</v>
      </c>
      <c r="AO29" s="263">
        <v>9783</v>
      </c>
      <c r="AP29" s="314">
        <f t="shared" si="12"/>
        <v>12</v>
      </c>
      <c r="AQ29" s="76">
        <v>85992</v>
      </c>
      <c r="AR29" s="227">
        <f t="shared" si="15"/>
        <v>0</v>
      </c>
      <c r="AS29" s="76">
        <v>115815</v>
      </c>
      <c r="AT29" s="227">
        <f t="shared" si="19"/>
        <v>4</v>
      </c>
      <c r="AU29" s="327">
        <f t="shared" si="2"/>
        <v>4</v>
      </c>
      <c r="AV29" s="17" t="s">
        <v>54</v>
      </c>
      <c r="AX29" s="74"/>
    </row>
    <row r="30" spans="2:52" x14ac:dyDescent="0.25">
      <c r="B30" s="8">
        <f t="shared" si="14"/>
        <v>44858</v>
      </c>
      <c r="C30" s="42" t="str">
        <f t="shared" si="3"/>
        <v>Mon</v>
      </c>
      <c r="D30" s="290">
        <v>0.65</v>
      </c>
      <c r="E30" s="290">
        <v>0.6</v>
      </c>
      <c r="F30" s="290">
        <v>0.73</v>
      </c>
      <c r="G30" s="143">
        <f t="shared" si="4"/>
        <v>16533</v>
      </c>
      <c r="H30" s="278">
        <v>0.55700000000000005</v>
      </c>
      <c r="I30" s="95"/>
      <c r="J30" s="22">
        <f t="shared" si="5"/>
        <v>0</v>
      </c>
      <c r="K30" s="310">
        <v>2853637</v>
      </c>
      <c r="L30" s="127">
        <f t="shared" si="9"/>
        <v>24252</v>
      </c>
      <c r="M30" s="26"/>
      <c r="N30" s="26"/>
      <c r="O30" s="22"/>
      <c r="P30" s="22">
        <v>85992</v>
      </c>
      <c r="Q30" s="21">
        <f t="shared" ref="Q30:Q36" si="20">P30-P29</f>
        <v>0</v>
      </c>
      <c r="R30" s="22">
        <v>115811</v>
      </c>
      <c r="S30" s="21">
        <f>R30-R29</f>
        <v>0</v>
      </c>
      <c r="T30" s="109">
        <v>0</v>
      </c>
      <c r="U30" s="109">
        <v>0</v>
      </c>
      <c r="V30" s="107">
        <f t="shared" si="18"/>
        <v>0</v>
      </c>
      <c r="W30" s="109">
        <v>0</v>
      </c>
      <c r="X30" s="103">
        <v>23817</v>
      </c>
      <c r="Y30" s="49">
        <f t="shared" si="1"/>
        <v>23817</v>
      </c>
      <c r="Z30" s="44">
        <v>0</v>
      </c>
      <c r="AA30" s="44">
        <v>0</v>
      </c>
      <c r="AB30" s="259">
        <v>0.67999999999999972</v>
      </c>
      <c r="AC30" s="106">
        <v>22.920000000000073</v>
      </c>
      <c r="AD30" s="244">
        <v>145.57</v>
      </c>
      <c r="AE30" s="243">
        <f t="shared" si="16"/>
        <v>3887.39</v>
      </c>
      <c r="AF30" s="192">
        <v>15.9</v>
      </c>
      <c r="AG30" s="322"/>
      <c r="AH30" s="323">
        <v>50.2</v>
      </c>
      <c r="AI30" s="7">
        <v>145.57</v>
      </c>
      <c r="AJ30" s="7">
        <f t="shared" si="10"/>
        <v>4082.5000000000005</v>
      </c>
      <c r="AK30" s="208">
        <v>452272</v>
      </c>
      <c r="AL30" s="90">
        <f t="shared" si="11"/>
        <v>3036</v>
      </c>
      <c r="AM30" s="219">
        <v>65070</v>
      </c>
      <c r="AN30" s="76">
        <f t="shared" si="8"/>
        <v>544</v>
      </c>
      <c r="AO30" s="263">
        <v>9802</v>
      </c>
      <c r="AP30" s="314">
        <f t="shared" si="12"/>
        <v>19</v>
      </c>
      <c r="AQ30" s="76">
        <v>85992</v>
      </c>
      <c r="AR30" s="227">
        <f t="shared" si="15"/>
        <v>0</v>
      </c>
      <c r="AS30" s="76">
        <v>115815</v>
      </c>
      <c r="AT30" s="227">
        <f t="shared" si="19"/>
        <v>0</v>
      </c>
      <c r="AU30" s="49">
        <f t="shared" si="2"/>
        <v>0</v>
      </c>
      <c r="AV30" s="17" t="s">
        <v>84</v>
      </c>
    </row>
    <row r="31" spans="2:52" x14ac:dyDescent="0.25">
      <c r="B31" s="8">
        <f t="shared" si="14"/>
        <v>44859</v>
      </c>
      <c r="C31" s="42" t="str">
        <f t="shared" si="3"/>
        <v>Tue</v>
      </c>
      <c r="D31" s="291">
        <v>0.57999999999999996</v>
      </c>
      <c r="E31" s="291">
        <v>0.59</v>
      </c>
      <c r="F31" s="292">
        <v>0.71</v>
      </c>
      <c r="G31" s="143">
        <f t="shared" si="4"/>
        <v>15698</v>
      </c>
      <c r="H31" s="279">
        <v>0.55800000000000005</v>
      </c>
      <c r="I31" s="95"/>
      <c r="J31" s="22">
        <f t="shared" si="5"/>
        <v>0</v>
      </c>
      <c r="K31" s="310">
        <v>2874611</v>
      </c>
      <c r="L31" s="127">
        <f t="shared" si="9"/>
        <v>20974</v>
      </c>
      <c r="M31" s="26"/>
      <c r="N31" s="26"/>
      <c r="O31" s="22"/>
      <c r="P31" s="22">
        <v>85992</v>
      </c>
      <c r="Q31" s="21">
        <f t="shared" si="20"/>
        <v>0</v>
      </c>
      <c r="R31" s="22">
        <v>115811</v>
      </c>
      <c r="S31" s="21">
        <f t="shared" si="7"/>
        <v>0</v>
      </c>
      <c r="T31" s="109">
        <v>0</v>
      </c>
      <c r="U31" s="109">
        <v>0</v>
      </c>
      <c r="V31" s="107">
        <f t="shared" si="18"/>
        <v>0</v>
      </c>
      <c r="W31" s="109">
        <v>0</v>
      </c>
      <c r="X31" s="103">
        <v>21292</v>
      </c>
      <c r="Y31" s="49">
        <f t="shared" si="1"/>
        <v>21292</v>
      </c>
      <c r="Z31" s="44">
        <v>0</v>
      </c>
      <c r="AA31" s="44">
        <v>0</v>
      </c>
      <c r="AB31" s="259">
        <v>0</v>
      </c>
      <c r="AC31" s="106">
        <v>24.139999999999873</v>
      </c>
      <c r="AD31" s="247">
        <v>348.24</v>
      </c>
      <c r="AE31" s="243">
        <f t="shared" si="16"/>
        <v>4235.63</v>
      </c>
      <c r="AF31" s="192">
        <v>17.21</v>
      </c>
      <c r="AG31" s="322">
        <v>18.602</v>
      </c>
      <c r="AH31" s="323">
        <v>59.8</v>
      </c>
      <c r="AI31" s="7">
        <v>348.24</v>
      </c>
      <c r="AJ31" s="7">
        <f t="shared" si="10"/>
        <v>4430.7400000000007</v>
      </c>
      <c r="AK31" s="208">
        <v>456344</v>
      </c>
      <c r="AL31" s="90">
        <f t="shared" si="11"/>
        <v>4072</v>
      </c>
      <c r="AM31" s="219">
        <v>65737</v>
      </c>
      <c r="AN31" s="76">
        <f t="shared" si="8"/>
        <v>667</v>
      </c>
      <c r="AO31" s="263">
        <v>9835</v>
      </c>
      <c r="AP31" s="314">
        <f t="shared" si="12"/>
        <v>33</v>
      </c>
      <c r="AQ31" s="76">
        <v>85992</v>
      </c>
      <c r="AR31" s="227">
        <f t="shared" si="15"/>
        <v>0</v>
      </c>
      <c r="AS31" s="76">
        <v>115815</v>
      </c>
      <c r="AT31" s="227">
        <f t="shared" si="19"/>
        <v>0</v>
      </c>
      <c r="AU31" s="49">
        <f t="shared" si="2"/>
        <v>0</v>
      </c>
      <c r="AV31" s="17">
        <v>2</v>
      </c>
    </row>
    <row r="32" spans="2:52" x14ac:dyDescent="0.25">
      <c r="B32" s="8">
        <f t="shared" si="14"/>
        <v>44860</v>
      </c>
      <c r="C32" s="42" t="str">
        <f t="shared" si="3"/>
        <v>Wed</v>
      </c>
      <c r="D32" s="291">
        <v>0.66</v>
      </c>
      <c r="E32" s="291">
        <v>0.68</v>
      </c>
      <c r="F32" s="292">
        <v>0.65</v>
      </c>
      <c r="G32" s="143">
        <f t="shared" si="4"/>
        <v>16616.5</v>
      </c>
      <c r="H32" s="279">
        <v>0.55700000000000005</v>
      </c>
      <c r="I32" s="95"/>
      <c r="J32" s="22">
        <f t="shared" si="5"/>
        <v>0</v>
      </c>
      <c r="K32" s="312">
        <v>2895884</v>
      </c>
      <c r="L32" s="127">
        <f t="shared" si="9"/>
        <v>21273</v>
      </c>
      <c r="M32" s="26"/>
      <c r="N32" s="26"/>
      <c r="O32" s="22"/>
      <c r="P32" s="22">
        <v>85992</v>
      </c>
      <c r="Q32" s="21">
        <f t="shared" si="20"/>
        <v>0</v>
      </c>
      <c r="R32" s="22">
        <v>115811</v>
      </c>
      <c r="S32" s="21">
        <f t="shared" si="7"/>
        <v>0</v>
      </c>
      <c r="T32" s="109">
        <v>0</v>
      </c>
      <c r="U32" s="109">
        <v>0</v>
      </c>
      <c r="V32" s="107">
        <f t="shared" si="18"/>
        <v>0</v>
      </c>
      <c r="W32" s="109">
        <v>0</v>
      </c>
      <c r="X32" s="103">
        <v>21273</v>
      </c>
      <c r="Y32" s="49">
        <f t="shared" si="1"/>
        <v>21273</v>
      </c>
      <c r="Z32" s="44">
        <v>0</v>
      </c>
      <c r="AA32" s="44">
        <v>0</v>
      </c>
      <c r="AB32" s="259">
        <v>1.0199999999999996</v>
      </c>
      <c r="AC32" s="106">
        <v>24.0300000000002</v>
      </c>
      <c r="AD32" s="247">
        <v>293.38</v>
      </c>
      <c r="AE32" s="243">
        <f t="shared" si="16"/>
        <v>4529.01</v>
      </c>
      <c r="AF32" s="192">
        <v>16.57</v>
      </c>
      <c r="AG32" s="322">
        <v>29.85</v>
      </c>
      <c r="AH32" s="323">
        <v>70.099999999999994</v>
      </c>
      <c r="AI32" s="7">
        <v>293.38</v>
      </c>
      <c r="AJ32" s="7">
        <f t="shared" si="10"/>
        <v>4724.1200000000008</v>
      </c>
      <c r="AK32" s="208">
        <v>459560</v>
      </c>
      <c r="AL32" s="90">
        <f t="shared" si="11"/>
        <v>3216</v>
      </c>
      <c r="AM32" s="219">
        <v>66287</v>
      </c>
      <c r="AN32" s="76">
        <f t="shared" si="8"/>
        <v>550</v>
      </c>
      <c r="AO32" s="263">
        <v>9852</v>
      </c>
      <c r="AP32" s="314">
        <f t="shared" si="12"/>
        <v>17</v>
      </c>
      <c r="AQ32" s="76">
        <v>85992</v>
      </c>
      <c r="AR32" s="227">
        <f t="shared" si="15"/>
        <v>0</v>
      </c>
      <c r="AS32" s="76">
        <v>115815</v>
      </c>
      <c r="AT32" s="227">
        <f t="shared" si="19"/>
        <v>0</v>
      </c>
      <c r="AU32" s="49">
        <f t="shared" si="2"/>
        <v>0</v>
      </c>
      <c r="AV32" s="17">
        <v>2</v>
      </c>
    </row>
    <row r="33" spans="2:48" x14ac:dyDescent="0.25">
      <c r="B33" s="8">
        <f t="shared" si="14"/>
        <v>44861</v>
      </c>
      <c r="C33" s="42" t="str">
        <f t="shared" si="3"/>
        <v>Thu</v>
      </c>
      <c r="D33" s="293">
        <v>0.63</v>
      </c>
      <c r="E33" s="293">
        <v>0.71</v>
      </c>
      <c r="F33" s="294">
        <v>0.74</v>
      </c>
      <c r="G33" s="143">
        <f t="shared" si="4"/>
        <v>17368</v>
      </c>
      <c r="H33" s="279">
        <v>0.55900000000000005</v>
      </c>
      <c r="I33" s="95"/>
      <c r="J33" s="22">
        <f t="shared" si="5"/>
        <v>0</v>
      </c>
      <c r="K33" s="303">
        <v>2916822</v>
      </c>
      <c r="L33" s="127">
        <f t="shared" si="9"/>
        <v>20938</v>
      </c>
      <c r="M33" s="26"/>
      <c r="N33" s="26"/>
      <c r="O33" s="22"/>
      <c r="P33" s="22">
        <v>85992</v>
      </c>
      <c r="Q33" s="21">
        <f t="shared" si="20"/>
        <v>0</v>
      </c>
      <c r="R33" s="22">
        <v>115811</v>
      </c>
      <c r="S33" s="21">
        <f t="shared" si="7"/>
        <v>0</v>
      </c>
      <c r="T33" s="109">
        <v>0</v>
      </c>
      <c r="U33" s="109">
        <v>0</v>
      </c>
      <c r="V33" s="107">
        <f t="shared" si="18"/>
        <v>0</v>
      </c>
      <c r="W33" s="109">
        <v>0</v>
      </c>
      <c r="X33" s="103">
        <v>20938</v>
      </c>
      <c r="Y33" s="49">
        <f t="shared" si="1"/>
        <v>20938</v>
      </c>
      <c r="Z33" s="44">
        <v>0</v>
      </c>
      <c r="AA33" s="44">
        <v>0</v>
      </c>
      <c r="AB33" s="259">
        <v>0</v>
      </c>
      <c r="AC33" s="106">
        <v>23.859999999999673</v>
      </c>
      <c r="AD33" s="247">
        <v>269.67</v>
      </c>
      <c r="AE33" s="243">
        <f t="shared" si="16"/>
        <v>4798.68</v>
      </c>
      <c r="AF33" s="192">
        <v>16</v>
      </c>
      <c r="AG33" s="322">
        <v>12.848000000000001</v>
      </c>
      <c r="AH33" s="323">
        <v>74.3</v>
      </c>
      <c r="AI33" s="7">
        <v>269.67</v>
      </c>
      <c r="AJ33" s="7">
        <f t="shared" si="10"/>
        <v>4993.7900000000009</v>
      </c>
      <c r="AK33" s="208">
        <v>463572</v>
      </c>
      <c r="AL33" s="90">
        <f t="shared" si="11"/>
        <v>4012</v>
      </c>
      <c r="AM33" s="219">
        <v>66839</v>
      </c>
      <c r="AN33" s="76">
        <f t="shared" si="8"/>
        <v>552</v>
      </c>
      <c r="AO33" s="263">
        <v>9861</v>
      </c>
      <c r="AP33" s="314">
        <f t="shared" si="12"/>
        <v>9</v>
      </c>
      <c r="AQ33" s="76">
        <v>85992</v>
      </c>
      <c r="AR33" s="227">
        <f t="shared" si="15"/>
        <v>0</v>
      </c>
      <c r="AS33" s="76">
        <v>115815</v>
      </c>
      <c r="AT33" s="227">
        <f t="shared" si="19"/>
        <v>0</v>
      </c>
      <c r="AU33" s="49">
        <f t="shared" si="2"/>
        <v>0</v>
      </c>
      <c r="AV33" s="17">
        <v>2</v>
      </c>
    </row>
    <row r="34" spans="2:48" ht="15" x14ac:dyDescent="0.25">
      <c r="B34" s="8">
        <f t="shared" si="14"/>
        <v>44862</v>
      </c>
      <c r="C34" s="42" t="str">
        <f t="shared" si="3"/>
        <v>Fri</v>
      </c>
      <c r="D34" s="295">
        <v>0.7</v>
      </c>
      <c r="E34" s="295">
        <v>0.62</v>
      </c>
      <c r="F34" s="296">
        <v>0.65</v>
      </c>
      <c r="G34" s="143">
        <f t="shared" si="4"/>
        <v>16449.5</v>
      </c>
      <c r="H34" s="279">
        <v>0.55800000000000005</v>
      </c>
      <c r="I34" s="95"/>
      <c r="J34" s="22">
        <f t="shared" si="5"/>
        <v>0</v>
      </c>
      <c r="K34" s="303">
        <v>2939409</v>
      </c>
      <c r="L34" s="127">
        <f t="shared" si="9"/>
        <v>22587</v>
      </c>
      <c r="M34" s="26"/>
      <c r="N34" s="26"/>
      <c r="O34" s="22"/>
      <c r="P34" s="22">
        <v>85992</v>
      </c>
      <c r="Q34" s="21">
        <f t="shared" si="20"/>
        <v>0</v>
      </c>
      <c r="R34" s="22">
        <v>115811</v>
      </c>
      <c r="S34" s="21">
        <f>R34-R33</f>
        <v>0</v>
      </c>
      <c r="T34" s="109">
        <v>0</v>
      </c>
      <c r="U34" s="109">
        <v>0</v>
      </c>
      <c r="V34" s="107">
        <f t="shared" si="18"/>
        <v>0</v>
      </c>
      <c r="W34" s="109">
        <v>0</v>
      </c>
      <c r="X34" s="103">
        <v>22587</v>
      </c>
      <c r="Y34" s="49">
        <f t="shared" si="1"/>
        <v>22587</v>
      </c>
      <c r="Z34" s="44">
        <v>0</v>
      </c>
      <c r="AA34" s="44">
        <v>0</v>
      </c>
      <c r="AB34" s="259">
        <v>0.20000000000000284</v>
      </c>
      <c r="AC34" s="106">
        <v>24.079999999999927</v>
      </c>
      <c r="AD34" s="248">
        <v>350.04</v>
      </c>
      <c r="AE34" s="243">
        <f t="shared" si="16"/>
        <v>5148.72</v>
      </c>
      <c r="AF34" s="192">
        <v>15.84</v>
      </c>
      <c r="AG34" s="322">
        <v>30.35</v>
      </c>
      <c r="AH34" s="323"/>
      <c r="AI34" s="7">
        <v>350.04</v>
      </c>
      <c r="AJ34" s="7">
        <f t="shared" si="10"/>
        <v>5343.8300000000008</v>
      </c>
      <c r="AK34" s="208">
        <v>466686</v>
      </c>
      <c r="AL34" s="90">
        <f t="shared" si="11"/>
        <v>3114</v>
      </c>
      <c r="AM34" s="219">
        <v>67220</v>
      </c>
      <c r="AN34" s="76">
        <f t="shared" si="8"/>
        <v>381</v>
      </c>
      <c r="AO34" s="263">
        <v>9877</v>
      </c>
      <c r="AP34" s="314">
        <f t="shared" si="12"/>
        <v>16</v>
      </c>
      <c r="AQ34" s="76">
        <v>85992</v>
      </c>
      <c r="AR34" s="227">
        <f t="shared" si="15"/>
        <v>0</v>
      </c>
      <c r="AS34" s="76">
        <v>115815</v>
      </c>
      <c r="AT34" s="227">
        <f t="shared" si="19"/>
        <v>0</v>
      </c>
      <c r="AU34" s="49">
        <f t="shared" si="2"/>
        <v>0</v>
      </c>
      <c r="AV34" s="17">
        <v>2</v>
      </c>
    </row>
    <row r="35" spans="2:48" ht="15" x14ac:dyDescent="0.25">
      <c r="B35" s="8">
        <f t="shared" si="14"/>
        <v>44863</v>
      </c>
      <c r="C35" s="42" t="str">
        <f t="shared" si="3"/>
        <v>Sat</v>
      </c>
      <c r="D35" s="118">
        <v>0.16</v>
      </c>
      <c r="E35" s="118">
        <v>0.08</v>
      </c>
      <c r="F35" s="122">
        <v>0.1</v>
      </c>
      <c r="G35" s="143">
        <f t="shared" si="4"/>
        <v>2839</v>
      </c>
      <c r="H35" s="279">
        <v>0.55800000000000005</v>
      </c>
      <c r="I35" s="95"/>
      <c r="J35" s="22">
        <f t="shared" si="5"/>
        <v>0</v>
      </c>
      <c r="K35" s="303">
        <v>2969632</v>
      </c>
      <c r="L35" s="127">
        <f t="shared" si="9"/>
        <v>30223</v>
      </c>
      <c r="M35" s="26"/>
      <c r="N35" s="26"/>
      <c r="O35" s="22"/>
      <c r="P35" s="22">
        <v>85992</v>
      </c>
      <c r="Q35" s="21">
        <f t="shared" si="20"/>
        <v>0</v>
      </c>
      <c r="R35" s="22">
        <v>115811</v>
      </c>
      <c r="S35" s="21">
        <f>R35-R34</f>
        <v>0</v>
      </c>
      <c r="T35" s="109">
        <v>0</v>
      </c>
      <c r="U35" s="109">
        <v>0</v>
      </c>
      <c r="V35" s="108">
        <f t="shared" si="18"/>
        <v>0</v>
      </c>
      <c r="W35" s="109">
        <v>0</v>
      </c>
      <c r="X35" s="77">
        <v>30223</v>
      </c>
      <c r="Y35" s="49">
        <f t="shared" si="1"/>
        <v>30223</v>
      </c>
      <c r="Z35" s="44">
        <v>0</v>
      </c>
      <c r="AA35" s="44">
        <v>0</v>
      </c>
      <c r="AB35" s="259">
        <v>0</v>
      </c>
      <c r="AC35" s="106">
        <v>23.940000000000055</v>
      </c>
      <c r="AD35" s="248">
        <v>362.75</v>
      </c>
      <c r="AE35" s="243">
        <f t="shared" si="16"/>
        <v>5511.47</v>
      </c>
      <c r="AF35" s="192">
        <v>15.62</v>
      </c>
      <c r="AG35" s="322">
        <v>12.78</v>
      </c>
      <c r="AH35" s="324"/>
      <c r="AI35" s="7">
        <v>362.74</v>
      </c>
      <c r="AJ35" s="7">
        <f>AI35+AJ34</f>
        <v>5706.5700000000006</v>
      </c>
      <c r="AK35" s="208">
        <v>469505</v>
      </c>
      <c r="AL35" s="90">
        <f t="shared" si="11"/>
        <v>2819</v>
      </c>
      <c r="AM35" s="219">
        <v>67448</v>
      </c>
      <c r="AN35" s="76">
        <f t="shared" si="8"/>
        <v>228</v>
      </c>
      <c r="AO35" s="313" t="s">
        <v>85</v>
      </c>
      <c r="AP35" s="211">
        <v>19</v>
      </c>
      <c r="AQ35" s="76">
        <v>85992</v>
      </c>
      <c r="AR35" s="227">
        <f t="shared" si="15"/>
        <v>0</v>
      </c>
      <c r="AS35" s="76">
        <v>115815</v>
      </c>
      <c r="AT35" s="227">
        <f t="shared" si="19"/>
        <v>0</v>
      </c>
      <c r="AU35" s="49">
        <f>AR35+AT35</f>
        <v>0</v>
      </c>
      <c r="AV35" s="17" t="s">
        <v>86</v>
      </c>
    </row>
    <row r="36" spans="2:48" x14ac:dyDescent="0.25">
      <c r="B36" s="8">
        <f t="shared" si="14"/>
        <v>44864</v>
      </c>
      <c r="C36" s="42" t="str">
        <f t="shared" si="3"/>
        <v>Sun</v>
      </c>
      <c r="D36" s="118">
        <v>1</v>
      </c>
      <c r="E36" s="118">
        <v>0.37</v>
      </c>
      <c r="F36" s="122">
        <v>0.62</v>
      </c>
      <c r="G36" s="299">
        <f t="shared" si="4"/>
        <v>16616.5</v>
      </c>
      <c r="H36" s="279">
        <v>0.55700000000000005</v>
      </c>
      <c r="I36" s="95"/>
      <c r="J36" s="22">
        <f>I36-I35</f>
        <v>0</v>
      </c>
      <c r="K36" s="303">
        <v>2978727</v>
      </c>
      <c r="L36" s="127">
        <f>K36-K35</f>
        <v>9095</v>
      </c>
      <c r="M36" s="26">
        <v>0.78333333333333333</v>
      </c>
      <c r="N36" s="26">
        <v>0.85416666666666663</v>
      </c>
      <c r="O36" s="22">
        <v>11315.3833333333</v>
      </c>
      <c r="P36" s="22">
        <v>85992</v>
      </c>
      <c r="Q36" s="21">
        <f t="shared" si="20"/>
        <v>0</v>
      </c>
      <c r="R36" s="22">
        <v>115811</v>
      </c>
      <c r="S36" s="330">
        <f>R36-R35</f>
        <v>0</v>
      </c>
      <c r="T36" s="109">
        <v>0</v>
      </c>
      <c r="U36" s="109">
        <v>0</v>
      </c>
      <c r="V36" s="108">
        <f t="shared" si="18"/>
        <v>0</v>
      </c>
      <c r="W36" s="109">
        <v>0</v>
      </c>
      <c r="X36" s="77">
        <v>9095</v>
      </c>
      <c r="Y36" s="49">
        <f t="shared" si="1"/>
        <v>9095</v>
      </c>
      <c r="Z36" s="44">
        <v>0</v>
      </c>
      <c r="AA36" s="44">
        <v>0</v>
      </c>
      <c r="AB36" s="259">
        <v>0</v>
      </c>
      <c r="AC36" s="106">
        <v>9.3900000000003274</v>
      </c>
      <c r="AD36" s="247">
        <v>0</v>
      </c>
      <c r="AE36" s="243">
        <f>AD36+AE35</f>
        <v>5511.47</v>
      </c>
      <c r="AF36" s="192"/>
      <c r="AG36" s="322"/>
      <c r="AH36" s="323"/>
      <c r="AI36" s="7" t="s">
        <v>87</v>
      </c>
      <c r="AJ36" s="7" t="e">
        <f t="shared" si="10"/>
        <v>#VALUE!</v>
      </c>
      <c r="AK36" s="208">
        <v>472842</v>
      </c>
      <c r="AL36" s="90">
        <f>AK36-AK35</f>
        <v>3337</v>
      </c>
      <c r="AM36" s="219">
        <v>67933</v>
      </c>
      <c r="AN36" s="76">
        <f>AM36-AM35</f>
        <v>485</v>
      </c>
      <c r="AO36" s="263">
        <v>9921</v>
      </c>
      <c r="AP36" s="211">
        <v>25</v>
      </c>
      <c r="AQ36" s="76">
        <v>85992</v>
      </c>
      <c r="AR36" s="227">
        <f t="shared" si="15"/>
        <v>0</v>
      </c>
      <c r="AS36" s="76">
        <v>115817</v>
      </c>
      <c r="AT36" s="227">
        <f>AS36-AS35</f>
        <v>2</v>
      </c>
      <c r="AU36" s="327">
        <f>AR36+AT36</f>
        <v>2</v>
      </c>
      <c r="AV36" s="17" t="s">
        <v>54</v>
      </c>
    </row>
    <row r="37" spans="2:48" x14ac:dyDescent="0.25">
      <c r="B37" s="8">
        <f t="shared" si="14"/>
        <v>44865</v>
      </c>
      <c r="C37" s="42" t="str">
        <f t="shared" si="3"/>
        <v>Mon</v>
      </c>
      <c r="D37" s="297">
        <v>0.83</v>
      </c>
      <c r="E37" s="297">
        <v>0.9</v>
      </c>
      <c r="F37" s="298">
        <v>0.81</v>
      </c>
      <c r="G37" s="299">
        <f>SUMPRODUCT(D37:F37,$D$6:$F$6)</f>
        <v>21209</v>
      </c>
      <c r="H37" s="300">
        <v>0.55600000000000005</v>
      </c>
      <c r="I37" s="301"/>
      <c r="J37" s="302"/>
      <c r="K37" s="303">
        <v>2978727</v>
      </c>
      <c r="L37" s="311">
        <f>K37-K36</f>
        <v>0</v>
      </c>
      <c r="M37" s="304">
        <v>0.20833333333333334</v>
      </c>
      <c r="N37" s="304">
        <v>0.54652777777777783</v>
      </c>
      <c r="O37" s="302">
        <v>17616.483333333337</v>
      </c>
      <c r="P37" s="22">
        <v>85992</v>
      </c>
      <c r="Q37" s="305"/>
      <c r="R37" s="22">
        <v>115811</v>
      </c>
      <c r="S37" s="305"/>
      <c r="T37" s="109">
        <v>0</v>
      </c>
      <c r="U37" s="109">
        <v>0</v>
      </c>
      <c r="V37" s="108">
        <f t="shared" si="18"/>
        <v>0</v>
      </c>
      <c r="W37" s="109">
        <v>0</v>
      </c>
      <c r="X37" s="77">
        <v>0</v>
      </c>
      <c r="Y37" s="49">
        <f t="shared" si="1"/>
        <v>0</v>
      </c>
      <c r="Z37" s="44">
        <v>0</v>
      </c>
      <c r="AA37" s="44">
        <v>0</v>
      </c>
      <c r="AB37" s="259">
        <v>0</v>
      </c>
      <c r="AC37" s="106">
        <v>0</v>
      </c>
      <c r="AD37" s="247">
        <v>0</v>
      </c>
      <c r="AE37" s="243"/>
      <c r="AF37" s="192"/>
      <c r="AG37" s="322"/>
      <c r="AH37" s="323"/>
      <c r="AI37" s="7">
        <v>0</v>
      </c>
      <c r="AJ37" s="7"/>
      <c r="AK37" s="208">
        <v>475160</v>
      </c>
      <c r="AL37" s="90">
        <f>AK37-AK36</f>
        <v>2318</v>
      </c>
      <c r="AM37" s="219">
        <v>68260</v>
      </c>
      <c r="AN37" s="76">
        <f>AM37-AM36</f>
        <v>327</v>
      </c>
      <c r="AO37" s="263">
        <v>9956</v>
      </c>
      <c r="AP37" s="314">
        <f>AO37-AO36</f>
        <v>35</v>
      </c>
      <c r="AQ37" s="76">
        <v>85992</v>
      </c>
      <c r="AR37" s="227"/>
      <c r="AS37" s="76">
        <v>115817</v>
      </c>
      <c r="AT37" s="227">
        <f>AS37-AS36</f>
        <v>0</v>
      </c>
      <c r="AU37" s="49">
        <f>AR37+AT37</f>
        <v>0</v>
      </c>
      <c r="AV37" s="17" t="s">
        <v>54</v>
      </c>
    </row>
    <row r="38" spans="2:48" x14ac:dyDescent="0.25">
      <c r="B38" s="14" t="s">
        <v>48</v>
      </c>
      <c r="C38" s="14"/>
      <c r="D38" s="69">
        <f>AVERAGE(D7:D37)</f>
        <v>0.65290322580645144</v>
      </c>
      <c r="E38" s="69"/>
      <c r="F38" s="69">
        <f>AVERAGE(F7:F37)</f>
        <v>0.62612903225806438</v>
      </c>
      <c r="G38" s="65">
        <f>AVERAGE(G7:G37)</f>
        <v>15425.951612903225</v>
      </c>
      <c r="H38" s="69">
        <f>AVERAGE(H7:H37)</f>
        <v>0.55664516129032271</v>
      </c>
      <c r="I38" s="67"/>
      <c r="J38" s="65">
        <f>SUMIFS(J7:J37,J7:J37,"&gt;0")</f>
        <v>0</v>
      </c>
      <c r="K38" s="67"/>
      <c r="L38" s="137">
        <f>SUMIFS(L7:L37,L7:L37,"&gt;0")</f>
        <v>571491</v>
      </c>
      <c r="M38" s="67"/>
      <c r="N38" s="67"/>
      <c r="O38" s="65">
        <f>SUM(O7:O37)</f>
        <v>28931.86666666664</v>
      </c>
      <c r="P38" s="67"/>
      <c r="Q38" s="65">
        <f>SUMIFS(Q7:Q36,Q7:Q36,"&gt;0")</f>
        <v>192</v>
      </c>
      <c r="R38" s="67"/>
      <c r="S38" s="65">
        <f>SUMIFS(S7:S36,S7:S36,"&gt;0")</f>
        <v>27411</v>
      </c>
      <c r="T38" s="65">
        <f t="shared" ref="T38:AI38" si="21">SUM(T7:T37)</f>
        <v>506</v>
      </c>
      <c r="U38" s="65">
        <f t="shared" si="21"/>
        <v>0</v>
      </c>
      <c r="V38" s="65">
        <f t="shared" si="21"/>
        <v>506</v>
      </c>
      <c r="W38" s="65"/>
      <c r="X38" s="65">
        <v>0</v>
      </c>
      <c r="Y38" s="137">
        <f t="shared" si="21"/>
        <v>571491</v>
      </c>
      <c r="Z38" s="65">
        <f t="shared" si="21"/>
        <v>1.96</v>
      </c>
      <c r="AA38" s="65">
        <f t="shared" si="21"/>
        <v>0</v>
      </c>
      <c r="AB38" s="260">
        <f t="shared" si="21"/>
        <v>8</v>
      </c>
      <c r="AC38" s="65">
        <f t="shared" si="21"/>
        <v>603.64000000000033</v>
      </c>
      <c r="AD38" s="329">
        <f>SUM(AD7:AD37)</f>
        <v>5511.47</v>
      </c>
      <c r="AE38" s="11"/>
      <c r="AF38" s="258">
        <f>AVERAGE(AF7:AF37)</f>
        <v>16.215714285714284</v>
      </c>
      <c r="AG38" s="329">
        <f>SUM(AG7:AG36)</f>
        <v>145.09200000000001</v>
      </c>
      <c r="AH38" s="258"/>
      <c r="AI38" s="327">
        <f t="shared" si="21"/>
        <v>5706.5700000000006</v>
      </c>
      <c r="AJ38" s="68"/>
      <c r="AK38" s="66"/>
      <c r="AL38" s="65">
        <f>SUM(AL7:AL37)</f>
        <v>96256</v>
      </c>
      <c r="AM38" s="99"/>
      <c r="AN38" s="65">
        <f>SUM(AN7:AN37)</f>
        <v>16618</v>
      </c>
      <c r="AO38" s="65"/>
      <c r="AP38" s="65">
        <f>SUM(AP7:AP37)</f>
        <v>966</v>
      </c>
      <c r="AQ38" s="67"/>
      <c r="AR38" s="65">
        <f>SUMIFS(AR7:AR36,AR7:AR36,"&gt;0")</f>
        <v>192</v>
      </c>
      <c r="AS38" s="67"/>
      <c r="AT38" s="65">
        <f>SUMIFS(AT7:AT37,AT7:AT37,"&gt;0")</f>
        <v>27417</v>
      </c>
      <c r="AU38" s="65">
        <f>SUM(AU7:AU36)+96</f>
        <v>27705</v>
      </c>
      <c r="AV38" s="5"/>
    </row>
    <row r="39" spans="2:48" x14ac:dyDescent="0.25">
      <c r="J39" s="72"/>
      <c r="L39" s="72"/>
      <c r="S39" s="63">
        <f>S38+96+Q38</f>
        <v>27699</v>
      </c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499">
        <f>AD38+AG38</f>
        <v>5656.5619999999999</v>
      </c>
      <c r="AE39" s="499"/>
      <c r="AF39" s="499"/>
      <c r="AG39" s="499"/>
      <c r="AH39" s="499"/>
      <c r="AI39" s="63"/>
      <c r="AJ39" s="63"/>
      <c r="AN39" s="63"/>
      <c r="AO39" s="63"/>
      <c r="AP39" s="63"/>
      <c r="AT39" s="63"/>
      <c r="AU39" s="63"/>
    </row>
    <row r="40" spans="2:48" x14ac:dyDescent="0.25">
      <c r="G40" s="81"/>
      <c r="I40" s="88"/>
      <c r="J40" s="87"/>
      <c r="K40" s="88"/>
      <c r="L40" s="87"/>
      <c r="O40" s="89"/>
      <c r="P40" s="89"/>
      <c r="Q40" s="89"/>
      <c r="R40" s="89"/>
      <c r="S40" s="89"/>
      <c r="AD40" s="237"/>
      <c r="AF40" s="85"/>
      <c r="AG40" s="85"/>
      <c r="AH40" s="85"/>
      <c r="AI40" s="74"/>
      <c r="AK40" s="85"/>
      <c r="AL40" s="85"/>
      <c r="AM40" s="85"/>
      <c r="AN40" s="73"/>
      <c r="AO40" s="73"/>
      <c r="AP40" s="73"/>
      <c r="AQ40" s="89"/>
      <c r="AR40" s="89"/>
      <c r="AT40" s="91"/>
      <c r="AU40" s="91"/>
    </row>
    <row r="41" spans="2:48" x14ac:dyDescent="0.25">
      <c r="C41" s="16"/>
      <c r="J41" s="80"/>
      <c r="L41" s="80"/>
      <c r="Q41" s="331" t="s">
        <v>88</v>
      </c>
      <c r="R41" s="332"/>
      <c r="AF41" s="86"/>
      <c r="AG41" s="86"/>
      <c r="AH41" s="86"/>
      <c r="AK41" s="86"/>
      <c r="AL41" s="86"/>
      <c r="AM41" s="86"/>
      <c r="AN41" s="73"/>
      <c r="AO41" s="73"/>
      <c r="AP41" s="73"/>
      <c r="AS41" s="88"/>
    </row>
    <row r="42" spans="2:48" x14ac:dyDescent="0.25">
      <c r="Q42" s="331" t="s">
        <v>74</v>
      </c>
      <c r="R42" s="333">
        <f>Q38+S38-S32+96</f>
        <v>27699</v>
      </c>
      <c r="S42" s="1" t="s">
        <v>89</v>
      </c>
      <c r="AG42" s="2" t="s">
        <v>90</v>
      </c>
      <c r="AN42" s="63"/>
      <c r="AO42" s="63"/>
      <c r="AP42" s="63"/>
    </row>
    <row r="43" spans="2:48" x14ac:dyDescent="0.25">
      <c r="Q43" s="331" t="s">
        <v>75</v>
      </c>
      <c r="R43" s="333">
        <f>AU38</f>
        <v>27705</v>
      </c>
      <c r="S43" s="1" t="s">
        <v>89</v>
      </c>
    </row>
    <row r="44" spans="2:48" x14ac:dyDescent="0.25">
      <c r="Q44" s="331" t="s">
        <v>76</v>
      </c>
      <c r="R44" s="331">
        <f>ABS(R42-R43)</f>
        <v>6</v>
      </c>
    </row>
    <row r="45" spans="2:48" x14ac:dyDescent="0.25">
      <c r="Q45" s="331" t="s">
        <v>77</v>
      </c>
      <c r="R45" s="334"/>
    </row>
  </sheetData>
  <mergeCells count="29">
    <mergeCell ref="AD39:AH39"/>
    <mergeCell ref="AV3:AV6"/>
    <mergeCell ref="B4:B6"/>
    <mergeCell ref="C4:C6"/>
    <mergeCell ref="D4:G4"/>
    <mergeCell ref="I4:L4"/>
    <mergeCell ref="M4:O4"/>
    <mergeCell ref="P4:Q5"/>
    <mergeCell ref="I5:J5"/>
    <mergeCell ref="K5:L5"/>
    <mergeCell ref="M5:N5"/>
    <mergeCell ref="AI5:AJ5"/>
    <mergeCell ref="R4:S5"/>
    <mergeCell ref="AK5:AL5"/>
    <mergeCell ref="AM5:AN5"/>
    <mergeCell ref="AO5:AP5"/>
    <mergeCell ref="T4:V4"/>
    <mergeCell ref="AQ5:AR5"/>
    <mergeCell ref="AS5:AT5"/>
    <mergeCell ref="B3:AC3"/>
    <mergeCell ref="AK3:AP4"/>
    <mergeCell ref="W4:Y4"/>
    <mergeCell ref="Z4:AA4"/>
    <mergeCell ref="AB4:AC4"/>
    <mergeCell ref="AD5:AE5"/>
    <mergeCell ref="AI3:AJ3"/>
    <mergeCell ref="AI4:AJ4"/>
    <mergeCell ref="AD3:AG4"/>
    <mergeCell ref="AH3:AH4"/>
  </mergeCells>
  <pageMargins left="0" right="0" top="0.35433070866141736" bottom="0" header="0.31496062992125984" footer="0.31496062992125984"/>
  <pageSetup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BD45"/>
  <sheetViews>
    <sheetView showGridLines="0" zoomScale="70" zoomScaleNormal="70" workbookViewId="0">
      <pane xSplit="3" ySplit="6" topLeftCell="V7" activePane="bottomRight" state="frozen"/>
      <selection pane="topRight" activeCell="B41" sqref="B41:E42"/>
      <selection pane="bottomLeft" activeCell="B41" sqref="B41:E42"/>
      <selection pane="bottomRight" activeCell="B41" sqref="B41:E42"/>
    </sheetView>
  </sheetViews>
  <sheetFormatPr defaultColWidth="9.109375" defaultRowHeight="13.8" x14ac:dyDescent="0.25"/>
  <cols>
    <col min="1" max="1" width="4.5546875" style="1" customWidth="1"/>
    <col min="2" max="2" width="22.5546875" style="2" customWidth="1"/>
    <col min="3" max="3" width="10.44140625" style="2" bestFit="1" customWidth="1"/>
    <col min="4" max="5" width="10.44140625" style="2" customWidth="1"/>
    <col min="6" max="6" width="10" style="2" customWidth="1"/>
    <col min="7" max="7" width="11" style="2" customWidth="1"/>
    <col min="8" max="8" width="11.44140625" style="2" customWidth="1"/>
    <col min="9" max="9" width="12.44140625" style="1" customWidth="1"/>
    <col min="10" max="10" width="13" style="1" customWidth="1"/>
    <col min="11" max="12" width="12.44140625" style="1" customWidth="1"/>
    <col min="13" max="13" width="10.88671875" style="1" bestFit="1" customWidth="1"/>
    <col min="14" max="14" width="10.88671875" style="1" customWidth="1"/>
    <col min="15" max="19" width="11.44140625" style="1" customWidth="1"/>
    <col min="20" max="20" width="12.44140625" style="3" customWidth="1"/>
    <col min="21" max="21" width="11.109375" style="3" customWidth="1"/>
    <col min="22" max="22" width="12.44140625" style="3" bestFit="1" customWidth="1"/>
    <col min="23" max="25" width="12.44140625" style="3" customWidth="1"/>
    <col min="26" max="26" width="11.5546875" style="3" customWidth="1"/>
    <col min="27" max="27" width="11.109375" style="3" customWidth="1"/>
    <col min="28" max="28" width="11" style="3" customWidth="1"/>
    <col min="29" max="32" width="11.44140625" style="3" customWidth="1"/>
    <col min="33" max="33" width="13.5546875" style="234" customWidth="1"/>
    <col min="34" max="34" width="14.5546875" style="234" bestFit="1" customWidth="1"/>
    <col min="35" max="36" width="13.5546875" style="234" customWidth="1"/>
    <col min="37" max="37" width="13.5546875" style="1" customWidth="1"/>
    <col min="38" max="38" width="11.5546875" style="2" customWidth="1"/>
    <col min="39" max="40" width="12.88671875" style="1" customWidth="1"/>
    <col min="41" max="41" width="13.44140625" style="2" customWidth="1"/>
    <col min="42" max="42" width="12.88671875" style="2" customWidth="1"/>
    <col min="43" max="43" width="14.44140625" style="2" customWidth="1"/>
    <col min="44" max="46" width="12.88671875" style="1" customWidth="1"/>
    <col min="47" max="48" width="11.44140625" style="1" customWidth="1"/>
    <col min="49" max="49" width="11.5546875" style="1" customWidth="1"/>
    <col min="50" max="50" width="11.88671875" style="1" customWidth="1"/>
    <col min="51" max="51" width="14.109375" style="1" customWidth="1"/>
    <col min="52" max="52" width="38" style="1" bestFit="1" customWidth="1"/>
    <col min="53" max="53" width="9.109375" style="1"/>
    <col min="54" max="54" width="10.88671875" style="1" bestFit="1" customWidth="1"/>
    <col min="55" max="55" width="12.88671875" style="1" bestFit="1" customWidth="1"/>
    <col min="56" max="16384" width="9.109375" style="1"/>
  </cols>
  <sheetData>
    <row r="2" spans="2:56" x14ac:dyDescent="0.25">
      <c r="B2" s="4" t="s">
        <v>0</v>
      </c>
    </row>
    <row r="3" spans="2:56" ht="31.5" customHeight="1" x14ac:dyDescent="0.25">
      <c r="B3" s="479" t="s">
        <v>1</v>
      </c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  <c r="AA3" s="480"/>
      <c r="AB3" s="480"/>
      <c r="AC3" s="481"/>
      <c r="AD3" s="490" t="s">
        <v>2</v>
      </c>
      <c r="AE3" s="491"/>
      <c r="AF3" s="491"/>
      <c r="AG3" s="491"/>
      <c r="AH3" s="491"/>
      <c r="AI3" s="491"/>
      <c r="AJ3" s="491"/>
      <c r="AK3" s="491"/>
      <c r="AL3" s="492"/>
      <c r="AM3" s="485" t="s">
        <v>3</v>
      </c>
      <c r="AN3" s="486"/>
      <c r="AO3" s="465" t="s">
        <v>4</v>
      </c>
      <c r="AP3" s="473"/>
      <c r="AQ3" s="473"/>
      <c r="AR3" s="473"/>
      <c r="AS3" s="473"/>
      <c r="AT3" s="473"/>
      <c r="AU3" s="225"/>
      <c r="AV3" s="225"/>
      <c r="AW3" s="225"/>
      <c r="AX3" s="225"/>
      <c r="AY3" s="225"/>
      <c r="AZ3" s="457" t="s">
        <v>5</v>
      </c>
    </row>
    <row r="4" spans="2:56" ht="16.5" customHeight="1" x14ac:dyDescent="0.25">
      <c r="B4" s="460" t="s">
        <v>6</v>
      </c>
      <c r="C4" s="460" t="s">
        <v>7</v>
      </c>
      <c r="D4" s="461" t="s">
        <v>8</v>
      </c>
      <c r="E4" s="462"/>
      <c r="F4" s="462"/>
      <c r="G4" s="463"/>
      <c r="H4" s="54" t="s">
        <v>9</v>
      </c>
      <c r="I4" s="464"/>
      <c r="J4" s="464"/>
      <c r="K4" s="464"/>
      <c r="L4" s="464"/>
      <c r="M4" s="464" t="s">
        <v>11</v>
      </c>
      <c r="N4" s="464"/>
      <c r="O4" s="464"/>
      <c r="P4" s="465" t="s">
        <v>56</v>
      </c>
      <c r="Q4" s="466"/>
      <c r="R4" s="465" t="s">
        <v>57</v>
      </c>
      <c r="S4" s="466"/>
      <c r="T4" s="469" t="s">
        <v>13</v>
      </c>
      <c r="U4" s="470"/>
      <c r="V4" s="471"/>
      <c r="W4" s="482" t="s">
        <v>14</v>
      </c>
      <c r="X4" s="483"/>
      <c r="Y4" s="484"/>
      <c r="Z4" s="461" t="s">
        <v>15</v>
      </c>
      <c r="AA4" s="463"/>
      <c r="AB4" s="461" t="s">
        <v>16</v>
      </c>
      <c r="AC4" s="463"/>
      <c r="AD4" s="487" t="s">
        <v>17</v>
      </c>
      <c r="AE4" s="488"/>
      <c r="AF4" s="488"/>
      <c r="AG4" s="488"/>
      <c r="AH4" s="488"/>
      <c r="AI4" s="488"/>
      <c r="AJ4" s="488"/>
      <c r="AK4" s="488"/>
      <c r="AL4" s="489"/>
      <c r="AM4" s="477" t="s">
        <v>17</v>
      </c>
      <c r="AN4" s="478"/>
      <c r="AO4" s="467"/>
      <c r="AP4" s="474"/>
      <c r="AQ4" s="474"/>
      <c r="AR4" s="474"/>
      <c r="AS4" s="474"/>
      <c r="AT4" s="474"/>
      <c r="AU4" s="228"/>
      <c r="AV4" s="228"/>
      <c r="AW4" s="228"/>
      <c r="AX4" s="228"/>
      <c r="AY4" s="228"/>
      <c r="AZ4" s="458"/>
    </row>
    <row r="5" spans="2:56" ht="52.5" customHeight="1" x14ac:dyDescent="0.25">
      <c r="B5" s="460"/>
      <c r="C5" s="460"/>
      <c r="D5" s="41" t="s">
        <v>18</v>
      </c>
      <c r="E5" s="41" t="s">
        <v>19</v>
      </c>
      <c r="F5" s="41" t="s">
        <v>20</v>
      </c>
      <c r="G5" s="41" t="s">
        <v>21</v>
      </c>
      <c r="H5" s="43" t="s">
        <v>22</v>
      </c>
      <c r="I5" s="477" t="s">
        <v>68</v>
      </c>
      <c r="J5" s="493"/>
      <c r="K5" s="472" t="s">
        <v>52</v>
      </c>
      <c r="L5" s="472"/>
      <c r="M5" s="460" t="s">
        <v>25</v>
      </c>
      <c r="N5" s="460"/>
      <c r="O5" s="43" t="s">
        <v>26</v>
      </c>
      <c r="P5" s="467"/>
      <c r="Q5" s="468"/>
      <c r="R5" s="467"/>
      <c r="S5" s="468"/>
      <c r="T5" s="82" t="s">
        <v>27</v>
      </c>
      <c r="U5" s="82" t="s">
        <v>24</v>
      </c>
      <c r="V5" s="82" t="s">
        <v>21</v>
      </c>
      <c r="W5" s="34" t="s">
        <v>27</v>
      </c>
      <c r="X5" s="34" t="s">
        <v>24</v>
      </c>
      <c r="Y5" s="36" t="s">
        <v>21</v>
      </c>
      <c r="Z5" s="82" t="s">
        <v>27</v>
      </c>
      <c r="AA5" s="82" t="s">
        <v>24</v>
      </c>
      <c r="AB5" s="82" t="s">
        <v>27</v>
      </c>
      <c r="AC5" s="82" t="s">
        <v>24</v>
      </c>
      <c r="AD5" s="477" t="s">
        <v>28</v>
      </c>
      <c r="AE5" s="478"/>
      <c r="AF5" s="478"/>
      <c r="AG5" s="478"/>
      <c r="AH5" s="478"/>
      <c r="AI5" s="478"/>
      <c r="AJ5" s="478"/>
      <c r="AK5" s="493"/>
      <c r="AL5" s="45" t="s">
        <v>29</v>
      </c>
      <c r="AM5" s="477" t="s">
        <v>28</v>
      </c>
      <c r="AN5" s="493"/>
      <c r="AO5" s="475" t="s">
        <v>30</v>
      </c>
      <c r="AP5" s="476"/>
      <c r="AQ5" s="475" t="s">
        <v>31</v>
      </c>
      <c r="AR5" s="476"/>
      <c r="AS5" s="477" t="s">
        <v>32</v>
      </c>
      <c r="AT5" s="478"/>
      <c r="AU5" s="477" t="s">
        <v>56</v>
      </c>
      <c r="AV5" s="493"/>
      <c r="AW5" s="477" t="s">
        <v>67</v>
      </c>
      <c r="AX5" s="493"/>
      <c r="AY5" s="226" t="s">
        <v>69</v>
      </c>
      <c r="AZ5" s="458"/>
    </row>
    <row r="6" spans="2:56" ht="14.4" x14ac:dyDescent="0.3">
      <c r="B6" s="460"/>
      <c r="C6" s="460"/>
      <c r="D6" s="83">
        <v>8350</v>
      </c>
      <c r="E6" s="83">
        <v>8350</v>
      </c>
      <c r="F6" s="83">
        <v>8350</v>
      </c>
      <c r="G6" s="83">
        <f>D6+E6+F6</f>
        <v>25050</v>
      </c>
      <c r="H6" s="56" t="s">
        <v>33</v>
      </c>
      <c r="I6" s="124" t="s">
        <v>53</v>
      </c>
      <c r="J6" s="17" t="s">
        <v>34</v>
      </c>
      <c r="K6" s="124" t="s">
        <v>53</v>
      </c>
      <c r="L6" s="124"/>
      <c r="M6" s="40" t="s">
        <v>36</v>
      </c>
      <c r="N6" s="40" t="s">
        <v>37</v>
      </c>
      <c r="O6" s="41" t="s">
        <v>38</v>
      </c>
      <c r="P6" s="17" t="s">
        <v>34</v>
      </c>
      <c r="Q6" s="17" t="s">
        <v>35</v>
      </c>
      <c r="R6" s="17" t="s">
        <v>34</v>
      </c>
      <c r="S6" s="17" t="s">
        <v>35</v>
      </c>
      <c r="T6" s="82" t="s">
        <v>39</v>
      </c>
      <c r="U6" s="82" t="s">
        <v>39</v>
      </c>
      <c r="V6" s="82" t="s">
        <v>39</v>
      </c>
      <c r="W6" s="82"/>
      <c r="X6" s="82"/>
      <c r="Y6" s="82"/>
      <c r="Z6" s="41" t="s">
        <v>40</v>
      </c>
      <c r="AA6" s="41" t="s">
        <v>40</v>
      </c>
      <c r="AB6" s="41" t="s">
        <v>40</v>
      </c>
      <c r="AC6" s="41" t="s">
        <v>40</v>
      </c>
      <c r="AD6" s="41" t="s">
        <v>91</v>
      </c>
      <c r="AE6" s="41" t="s">
        <v>92</v>
      </c>
      <c r="AF6" s="41" t="s">
        <v>93</v>
      </c>
      <c r="AG6" s="235" t="s">
        <v>94</v>
      </c>
      <c r="AH6" s="235" t="s">
        <v>95</v>
      </c>
      <c r="AI6" s="235" t="s">
        <v>96</v>
      </c>
      <c r="AJ6" s="235" t="s">
        <v>21</v>
      </c>
      <c r="AK6" s="78" t="s">
        <v>42</v>
      </c>
      <c r="AL6" s="9" t="s">
        <v>43</v>
      </c>
      <c r="AM6" s="17" t="s">
        <v>41</v>
      </c>
      <c r="AN6" s="78" t="s">
        <v>42</v>
      </c>
      <c r="AO6" s="366" t="s">
        <v>34</v>
      </c>
      <c r="AP6" s="367" t="s">
        <v>44</v>
      </c>
      <c r="AQ6" s="9" t="s">
        <v>34</v>
      </c>
      <c r="AR6" s="9" t="s">
        <v>44</v>
      </c>
      <c r="AS6" s="9" t="s">
        <v>34</v>
      </c>
      <c r="AT6" s="9" t="s">
        <v>44</v>
      </c>
      <c r="AU6" s="17" t="s">
        <v>34</v>
      </c>
      <c r="AV6" s="17" t="s">
        <v>35</v>
      </c>
      <c r="AW6" s="17" t="s">
        <v>34</v>
      </c>
      <c r="AX6" s="17" t="s">
        <v>35</v>
      </c>
      <c r="AY6" s="17" t="s">
        <v>53</v>
      </c>
      <c r="AZ6" s="459"/>
    </row>
    <row r="7" spans="2:56" x14ac:dyDescent="0.25">
      <c r="B7" s="8">
        <v>44866</v>
      </c>
      <c r="C7" s="42" t="str">
        <f>TEXT(B7,"ddd")</f>
        <v>Tue</v>
      </c>
      <c r="D7" s="289">
        <v>0.97484543000000001</v>
      </c>
      <c r="E7" s="289">
        <v>0.97499999999999998</v>
      </c>
      <c r="F7" s="289">
        <v>0.96965484999999996</v>
      </c>
      <c r="G7" s="345">
        <v>24377.827338000003</v>
      </c>
      <c r="H7" s="272">
        <v>0.55700000000000005</v>
      </c>
      <c r="I7" s="303"/>
      <c r="J7" s="22">
        <v>0</v>
      </c>
      <c r="K7" s="349">
        <v>2978727</v>
      </c>
      <c r="L7" s="270">
        <v>0</v>
      </c>
      <c r="M7" s="23">
        <v>0.32291666666666669</v>
      </c>
      <c r="N7" s="23">
        <v>0.54999999999999993</v>
      </c>
      <c r="O7" s="22">
        <v>12561.999999999996</v>
      </c>
      <c r="P7" s="22">
        <v>85992</v>
      </c>
      <c r="Q7" s="305"/>
      <c r="R7" s="22">
        <v>115811</v>
      </c>
      <c r="S7" s="21"/>
      <c r="T7" s="109">
        <v>0</v>
      </c>
      <c r="U7" s="109">
        <v>0</v>
      </c>
      <c r="V7" s="105">
        <f t="shared" ref="V7:V16" si="0">SUM(T7:U7)</f>
        <v>0</v>
      </c>
      <c r="W7" s="109">
        <v>0</v>
      </c>
      <c r="X7" s="109">
        <v>0</v>
      </c>
      <c r="Y7" s="49">
        <f>SUM(W7:X7)</f>
        <v>0</v>
      </c>
      <c r="Z7" s="44">
        <v>0</v>
      </c>
      <c r="AA7" s="44">
        <v>0</v>
      </c>
      <c r="AB7" s="259">
        <v>0</v>
      </c>
      <c r="AC7" s="106">
        <v>0</v>
      </c>
      <c r="AD7" s="420"/>
      <c r="AE7" s="420"/>
      <c r="AF7" s="420"/>
      <c r="AG7" s="242"/>
      <c r="AH7" s="242"/>
      <c r="AI7" s="242"/>
      <c r="AJ7" s="242">
        <f>SUM(AD7:AH7)</f>
        <v>0</v>
      </c>
      <c r="AK7" s="243">
        <f>AG7</f>
        <v>0</v>
      </c>
      <c r="AL7" s="186"/>
      <c r="AM7" s="7">
        <v>0</v>
      </c>
      <c r="AN7" s="7">
        <f>AM7</f>
        <v>0</v>
      </c>
      <c r="AO7" s="84">
        <v>478184</v>
      </c>
      <c r="AP7" s="76">
        <f>AO7-'Oct2022'!AK37</f>
        <v>3024</v>
      </c>
      <c r="AQ7" s="84">
        <v>68600</v>
      </c>
      <c r="AR7" s="76">
        <f>AQ7-'Oct2022'!AM37</f>
        <v>340</v>
      </c>
      <c r="AS7" s="84">
        <v>9995</v>
      </c>
      <c r="AT7" s="76">
        <f>AS7-'Oct2022'!AO37</f>
        <v>39</v>
      </c>
      <c r="AU7" s="76">
        <v>85992</v>
      </c>
      <c r="AV7" s="227">
        <f>AU7-'Oct2022'!AQ37</f>
        <v>0</v>
      </c>
      <c r="AW7" s="76">
        <v>115817</v>
      </c>
      <c r="AX7" s="227">
        <f>AW7-'Oct2022'!AS37</f>
        <v>0</v>
      </c>
      <c r="AY7" s="49">
        <f t="shared" ref="AY7:AY36" si="1">AV7+AX7</f>
        <v>0</v>
      </c>
      <c r="AZ7" s="17" t="s">
        <v>54</v>
      </c>
      <c r="BB7" s="79"/>
      <c r="BC7" s="74"/>
      <c r="BD7" s="74"/>
    </row>
    <row r="8" spans="2:56" x14ac:dyDescent="0.25">
      <c r="B8" s="8">
        <f>B7+1</f>
        <v>44867</v>
      </c>
      <c r="C8" s="42" t="str">
        <f t="shared" ref="C8:C36" si="2">TEXT(B8,"ddd")</f>
        <v>Wed</v>
      </c>
      <c r="D8" s="289">
        <v>0.53485413000000004</v>
      </c>
      <c r="E8" s="289">
        <v>0.67841857999999999</v>
      </c>
      <c r="F8" s="289">
        <v>0.61191898</v>
      </c>
      <c r="G8" s="345">
        <v>15240.350611500002</v>
      </c>
      <c r="H8" s="272">
        <v>0.55700000000000005</v>
      </c>
      <c r="I8" s="95"/>
      <c r="J8" s="344">
        <v>0</v>
      </c>
      <c r="K8" s="350">
        <v>2999642</v>
      </c>
      <c r="L8" s="348">
        <v>20915</v>
      </c>
      <c r="M8" s="26"/>
      <c r="N8" s="26"/>
      <c r="O8" s="22"/>
      <c r="P8" s="22">
        <v>85992</v>
      </c>
      <c r="Q8" s="21">
        <v>0</v>
      </c>
      <c r="R8" s="22">
        <v>115811</v>
      </c>
      <c r="S8" s="21">
        <v>0</v>
      </c>
      <c r="T8" s="109">
        <v>0</v>
      </c>
      <c r="U8" s="109">
        <v>0</v>
      </c>
      <c r="V8" s="105">
        <f t="shared" si="0"/>
        <v>0</v>
      </c>
      <c r="W8" s="109">
        <v>0</v>
      </c>
      <c r="X8" s="109">
        <v>20915</v>
      </c>
      <c r="Y8" s="49">
        <f>SUM(W8:X8)</f>
        <v>20915</v>
      </c>
      <c r="Z8" s="44">
        <v>0</v>
      </c>
      <c r="AA8" s="44">
        <v>0</v>
      </c>
      <c r="AB8" s="259">
        <v>2.1199999999999974</v>
      </c>
      <c r="AC8" s="106">
        <v>22.460000000000036</v>
      </c>
      <c r="AD8" s="106"/>
      <c r="AE8" s="106"/>
      <c r="AF8" s="106"/>
      <c r="AG8" s="244"/>
      <c r="AH8" s="244"/>
      <c r="AI8" s="244"/>
      <c r="AJ8" s="242">
        <f t="shared" ref="AJ8:AJ36" si="3">SUM(AD8:AH8)</f>
        <v>0</v>
      </c>
      <c r="AK8" s="243">
        <f>AG8+AK7</f>
        <v>0</v>
      </c>
      <c r="AL8" s="187"/>
      <c r="AM8" s="7">
        <v>339.15</v>
      </c>
      <c r="AN8" s="7">
        <f>AM8+AN7</f>
        <v>339.15</v>
      </c>
      <c r="AO8" s="84">
        <v>481519</v>
      </c>
      <c r="AP8" s="76">
        <f>AO8-AO7</f>
        <v>3335</v>
      </c>
      <c r="AQ8" s="84">
        <v>68890</v>
      </c>
      <c r="AR8" s="76">
        <f>AQ8-AQ7</f>
        <v>290</v>
      </c>
      <c r="AS8" s="84">
        <v>10035</v>
      </c>
      <c r="AT8" s="76">
        <f t="shared" ref="AT8:AT36" si="4">AS8-AS7</f>
        <v>40</v>
      </c>
      <c r="AU8" s="76">
        <v>85992</v>
      </c>
      <c r="AV8" s="227">
        <f>AU8-AU7</f>
        <v>0</v>
      </c>
      <c r="AW8" s="76">
        <v>115817</v>
      </c>
      <c r="AX8" s="227">
        <f>AW8-AW7</f>
        <v>0</v>
      </c>
      <c r="AY8" s="49">
        <f t="shared" si="1"/>
        <v>0</v>
      </c>
      <c r="AZ8" s="17" t="s">
        <v>54</v>
      </c>
      <c r="BB8" s="79"/>
      <c r="BC8" s="74"/>
      <c r="BD8" s="74"/>
    </row>
    <row r="9" spans="2:56" x14ac:dyDescent="0.25">
      <c r="B9" s="8">
        <f>B8+1</f>
        <v>44868</v>
      </c>
      <c r="C9" s="42" t="str">
        <f t="shared" si="2"/>
        <v>Thu</v>
      </c>
      <c r="D9" s="289">
        <v>0.72741104000000012</v>
      </c>
      <c r="E9" s="289">
        <v>0.69709670999999995</v>
      </c>
      <c r="F9" s="289">
        <v>0.57225025000000007</v>
      </c>
      <c r="G9" s="345">
        <v>16672.9293</v>
      </c>
      <c r="H9" s="272">
        <v>0.55800000000000005</v>
      </c>
      <c r="I9" s="95"/>
      <c r="J9" s="344">
        <v>0</v>
      </c>
      <c r="K9" s="350">
        <v>3020243</v>
      </c>
      <c r="L9" s="348">
        <v>20601</v>
      </c>
      <c r="M9" s="26"/>
      <c r="N9" s="26"/>
      <c r="O9" s="22"/>
      <c r="P9" s="22">
        <v>85992</v>
      </c>
      <c r="Q9" s="21">
        <v>0</v>
      </c>
      <c r="R9" s="22">
        <v>115811</v>
      </c>
      <c r="S9" s="21">
        <v>0</v>
      </c>
      <c r="T9" s="109">
        <v>0</v>
      </c>
      <c r="U9" s="109">
        <v>0</v>
      </c>
      <c r="V9" s="105">
        <f t="shared" si="0"/>
        <v>0</v>
      </c>
      <c r="W9" s="109">
        <v>0</v>
      </c>
      <c r="X9" s="109">
        <v>20601</v>
      </c>
      <c r="Y9" s="49">
        <f t="shared" ref="Y9:Y36" si="5">SUM(W9:X9)</f>
        <v>20601</v>
      </c>
      <c r="Z9" s="44">
        <v>0</v>
      </c>
      <c r="AA9" s="44">
        <v>0</v>
      </c>
      <c r="AB9" s="259">
        <v>0.41000000000000014</v>
      </c>
      <c r="AC9" s="106">
        <v>23.929999999999836</v>
      </c>
      <c r="AD9" s="106"/>
      <c r="AE9" s="106"/>
      <c r="AF9" s="106"/>
      <c r="AG9" s="244"/>
      <c r="AH9" s="244"/>
      <c r="AI9" s="244"/>
      <c r="AJ9" s="242">
        <f t="shared" si="3"/>
        <v>0</v>
      </c>
      <c r="AK9" s="243">
        <f>AG9+AK8</f>
        <v>0</v>
      </c>
      <c r="AL9" s="187"/>
      <c r="AM9" s="102">
        <v>407.85</v>
      </c>
      <c r="AN9" s="7">
        <f t="shared" ref="AN9:AN36" si="6">AM9+AN8</f>
        <v>747</v>
      </c>
      <c r="AO9" s="84">
        <v>484822</v>
      </c>
      <c r="AP9" s="76">
        <f>AO9-AO8</f>
        <v>3303</v>
      </c>
      <c r="AQ9" s="84">
        <v>69212</v>
      </c>
      <c r="AR9" s="76">
        <f>AQ9-AQ8</f>
        <v>322</v>
      </c>
      <c r="AS9" s="84">
        <v>10090</v>
      </c>
      <c r="AT9" s="76">
        <f t="shared" si="4"/>
        <v>55</v>
      </c>
      <c r="AU9" s="76">
        <v>85992</v>
      </c>
      <c r="AV9" s="227">
        <f>AU9-AU8</f>
        <v>0</v>
      </c>
      <c r="AW9" s="76">
        <v>115817</v>
      </c>
      <c r="AX9" s="227">
        <f t="shared" ref="AX9:AX36" si="7">AW9-AW8</f>
        <v>0</v>
      </c>
      <c r="AY9" s="49">
        <f t="shared" si="1"/>
        <v>0</v>
      </c>
      <c r="AZ9" s="17">
        <v>2</v>
      </c>
      <c r="BB9" s="79"/>
      <c r="BC9" s="74"/>
      <c r="BD9" s="74"/>
    </row>
    <row r="10" spans="2:56" x14ac:dyDescent="0.25">
      <c r="B10" s="8">
        <f t="shared" ref="B10:B36" si="8">B9+1</f>
        <v>44869</v>
      </c>
      <c r="C10" s="42" t="str">
        <f t="shared" si="2"/>
        <v>Fri</v>
      </c>
      <c r="D10" s="289">
        <v>0.83449158000000001</v>
      </c>
      <c r="E10" s="289">
        <v>0.53349731</v>
      </c>
      <c r="F10" s="289">
        <v>0.64779357999999998</v>
      </c>
      <c r="G10" s="345">
        <v>16831.7836245</v>
      </c>
      <c r="H10" s="273">
        <v>0.55700000000000005</v>
      </c>
      <c r="I10" s="95"/>
      <c r="J10" s="344">
        <v>0</v>
      </c>
      <c r="K10" s="350">
        <v>3042919</v>
      </c>
      <c r="L10" s="348">
        <v>22676</v>
      </c>
      <c r="M10" s="26"/>
      <c r="N10" s="26"/>
      <c r="O10" s="22"/>
      <c r="P10" s="22">
        <v>85992</v>
      </c>
      <c r="Q10" s="21">
        <v>0</v>
      </c>
      <c r="R10" s="22">
        <v>115811</v>
      </c>
      <c r="S10" s="21">
        <v>0</v>
      </c>
      <c r="T10" s="109">
        <v>0</v>
      </c>
      <c r="U10" s="109">
        <v>0</v>
      </c>
      <c r="V10" s="105">
        <f t="shared" si="0"/>
        <v>0</v>
      </c>
      <c r="W10" s="109">
        <v>0</v>
      </c>
      <c r="X10" s="109">
        <v>22676</v>
      </c>
      <c r="Y10" s="49">
        <f t="shared" si="5"/>
        <v>22676</v>
      </c>
      <c r="Z10" s="44">
        <v>0</v>
      </c>
      <c r="AA10" s="44">
        <v>0</v>
      </c>
      <c r="AB10" s="259">
        <v>0</v>
      </c>
      <c r="AC10" s="106">
        <v>24.070000000000164</v>
      </c>
      <c r="AD10" s="106"/>
      <c r="AE10" s="106"/>
      <c r="AF10" s="106"/>
      <c r="AG10" s="244"/>
      <c r="AH10" s="244"/>
      <c r="AI10" s="244"/>
      <c r="AJ10" s="242">
        <f t="shared" si="3"/>
        <v>0</v>
      </c>
      <c r="AK10" s="243">
        <f>AG10+AK9</f>
        <v>0</v>
      </c>
      <c r="AL10" s="187"/>
      <c r="AM10" s="102">
        <v>377.86</v>
      </c>
      <c r="AN10" s="7">
        <f t="shared" si="6"/>
        <v>1124.8600000000001</v>
      </c>
      <c r="AO10" s="84">
        <v>488502</v>
      </c>
      <c r="AP10" s="76">
        <f t="shared" ref="AP10:AP36" si="9">AO10-AO9</f>
        <v>3680</v>
      </c>
      <c r="AQ10" s="84">
        <v>69577</v>
      </c>
      <c r="AR10" s="76">
        <f>AQ10-AQ9</f>
        <v>365</v>
      </c>
      <c r="AS10" s="84">
        <v>10115</v>
      </c>
      <c r="AT10" s="76">
        <f t="shared" si="4"/>
        <v>25</v>
      </c>
      <c r="AU10" s="76">
        <v>85992</v>
      </c>
      <c r="AV10" s="227">
        <f t="shared" ref="AV10:AV36" si="10">AU10-AU9</f>
        <v>0</v>
      </c>
      <c r="AW10" s="76">
        <v>115817</v>
      </c>
      <c r="AX10" s="227">
        <f t="shared" si="7"/>
        <v>0</v>
      </c>
      <c r="AY10" s="49">
        <f t="shared" si="1"/>
        <v>0</v>
      </c>
      <c r="AZ10" s="17">
        <v>2</v>
      </c>
      <c r="BB10" s="79"/>
      <c r="BC10" s="74"/>
      <c r="BD10" s="74"/>
    </row>
    <row r="11" spans="2:56" x14ac:dyDescent="0.25">
      <c r="B11" s="8">
        <f t="shared" si="8"/>
        <v>44870</v>
      </c>
      <c r="C11" s="42" t="str">
        <f t="shared" si="2"/>
        <v>Sat</v>
      </c>
      <c r="D11" s="289">
        <v>0.24515091000000003</v>
      </c>
      <c r="E11" s="289">
        <v>0.19617553999999998</v>
      </c>
      <c r="F11" s="289">
        <v>0.43573512999999997</v>
      </c>
      <c r="G11" s="345">
        <v>7323.4641929999998</v>
      </c>
      <c r="H11" s="274">
        <v>0.55800000000000005</v>
      </c>
      <c r="I11" s="95"/>
      <c r="J11" s="344">
        <v>0</v>
      </c>
      <c r="K11" s="351">
        <v>3072765</v>
      </c>
      <c r="L11" s="348">
        <v>29846</v>
      </c>
      <c r="M11" s="26"/>
      <c r="N11" s="26"/>
      <c r="O11" s="22"/>
      <c r="P11" s="22">
        <v>85992</v>
      </c>
      <c r="Q11" s="21">
        <v>0</v>
      </c>
      <c r="R11" s="22">
        <v>115811</v>
      </c>
      <c r="S11" s="21">
        <v>0</v>
      </c>
      <c r="T11" s="109">
        <v>0</v>
      </c>
      <c r="U11" s="109">
        <v>0</v>
      </c>
      <c r="V11" s="105">
        <f t="shared" si="0"/>
        <v>0</v>
      </c>
      <c r="W11" s="109">
        <v>0</v>
      </c>
      <c r="X11" s="109">
        <v>29846</v>
      </c>
      <c r="Y11" s="49">
        <f t="shared" si="5"/>
        <v>29846</v>
      </c>
      <c r="Z11" s="44">
        <v>0</v>
      </c>
      <c r="AA11" s="44">
        <v>0</v>
      </c>
      <c r="AB11" s="259">
        <v>0</v>
      </c>
      <c r="AC11" s="106">
        <v>24.019999999999982</v>
      </c>
      <c r="AD11" s="106"/>
      <c r="AE11" s="106"/>
      <c r="AF11" s="106"/>
      <c r="AG11" s="245"/>
      <c r="AH11" s="245"/>
      <c r="AI11" s="245"/>
      <c r="AJ11" s="242">
        <f t="shared" si="3"/>
        <v>0</v>
      </c>
      <c r="AK11" s="243">
        <f t="shared" ref="AK11:AK36" si="11">AG11+AK10</f>
        <v>0</v>
      </c>
      <c r="AL11" s="187"/>
      <c r="AM11" s="102">
        <v>350.07</v>
      </c>
      <c r="AN11" s="7">
        <f t="shared" si="6"/>
        <v>1474.93</v>
      </c>
      <c r="AO11" s="84">
        <v>491487</v>
      </c>
      <c r="AP11" s="76">
        <f t="shared" si="9"/>
        <v>2985</v>
      </c>
      <c r="AQ11" s="84">
        <v>69800</v>
      </c>
      <c r="AR11" s="76">
        <f t="shared" ref="AR11:AR36" si="12">AQ11-AQ10</f>
        <v>223</v>
      </c>
      <c r="AS11" s="84">
        <v>10171</v>
      </c>
      <c r="AT11" s="76">
        <f t="shared" si="4"/>
        <v>56</v>
      </c>
      <c r="AU11" s="76">
        <v>85992</v>
      </c>
      <c r="AV11" s="227">
        <f t="shared" si="10"/>
        <v>0</v>
      </c>
      <c r="AW11" s="76">
        <v>115817</v>
      </c>
      <c r="AX11" s="227">
        <f t="shared" si="7"/>
        <v>0</v>
      </c>
      <c r="AY11" s="49">
        <f t="shared" si="1"/>
        <v>0</v>
      </c>
      <c r="AZ11" s="17">
        <v>2</v>
      </c>
      <c r="BB11" s="79"/>
      <c r="BC11" s="74"/>
      <c r="BD11" s="74"/>
    </row>
    <row r="12" spans="2:56" x14ac:dyDescent="0.25">
      <c r="B12" s="8">
        <f t="shared" si="8"/>
        <v>44871</v>
      </c>
      <c r="C12" s="42" t="str">
        <f t="shared" si="2"/>
        <v>Sun</v>
      </c>
      <c r="D12" s="289">
        <v>0.84936249000000008</v>
      </c>
      <c r="E12" s="289">
        <v>0.45667029999999997</v>
      </c>
      <c r="F12" s="289">
        <v>0.67429138</v>
      </c>
      <c r="G12" s="345">
        <v>16535.706819499999</v>
      </c>
      <c r="H12" s="275">
        <v>0.56100000000000005</v>
      </c>
      <c r="I12" s="95"/>
      <c r="J12" s="344">
        <v>0</v>
      </c>
      <c r="K12" s="351">
        <v>3085006</v>
      </c>
      <c r="L12" s="348">
        <v>12241</v>
      </c>
      <c r="M12" s="26"/>
      <c r="N12" s="26"/>
      <c r="O12" s="22"/>
      <c r="P12" s="22">
        <v>85992</v>
      </c>
      <c r="Q12" s="21">
        <v>0</v>
      </c>
      <c r="R12" s="22">
        <v>115811</v>
      </c>
      <c r="S12" s="21">
        <v>0</v>
      </c>
      <c r="T12" s="109">
        <v>0</v>
      </c>
      <c r="U12" s="109">
        <v>0</v>
      </c>
      <c r="V12" s="105">
        <f t="shared" si="0"/>
        <v>0</v>
      </c>
      <c r="W12" s="109">
        <v>0</v>
      </c>
      <c r="X12" s="109">
        <v>12241</v>
      </c>
      <c r="Y12" s="49">
        <f t="shared" si="5"/>
        <v>12241</v>
      </c>
      <c r="Z12" s="44">
        <v>0</v>
      </c>
      <c r="AA12" s="44">
        <v>0</v>
      </c>
      <c r="AB12" s="259">
        <v>0</v>
      </c>
      <c r="AC12" s="106">
        <v>8.6999999999998181</v>
      </c>
      <c r="AD12" s="106"/>
      <c r="AE12" s="106"/>
      <c r="AF12" s="106"/>
      <c r="AG12" s="245"/>
      <c r="AH12" s="245"/>
      <c r="AI12" s="245"/>
      <c r="AJ12" s="242">
        <f t="shared" si="3"/>
        <v>0</v>
      </c>
      <c r="AK12" s="243">
        <f t="shared" si="11"/>
        <v>0</v>
      </c>
      <c r="AL12" s="186"/>
      <c r="AM12" s="102">
        <v>0</v>
      </c>
      <c r="AN12" s="7">
        <f t="shared" si="6"/>
        <v>1474.93</v>
      </c>
      <c r="AO12" s="84">
        <v>494472</v>
      </c>
      <c r="AP12" s="76">
        <f t="shared" si="9"/>
        <v>2985</v>
      </c>
      <c r="AQ12" s="84">
        <v>70205</v>
      </c>
      <c r="AR12" s="76">
        <f t="shared" si="12"/>
        <v>405</v>
      </c>
      <c r="AS12" s="84">
        <v>10203</v>
      </c>
      <c r="AT12" s="76">
        <f t="shared" si="4"/>
        <v>32</v>
      </c>
      <c r="AU12" s="76">
        <v>85992</v>
      </c>
      <c r="AV12" s="227">
        <f t="shared" si="10"/>
        <v>0</v>
      </c>
      <c r="AW12" s="76">
        <v>115817</v>
      </c>
      <c r="AX12" s="227">
        <f t="shared" si="7"/>
        <v>0</v>
      </c>
      <c r="AY12" s="49">
        <f t="shared" si="1"/>
        <v>0</v>
      </c>
      <c r="AZ12" s="17"/>
      <c r="BB12" s="79"/>
      <c r="BC12" s="74"/>
      <c r="BD12" s="74"/>
    </row>
    <row r="13" spans="2:56" x14ac:dyDescent="0.25">
      <c r="B13" s="8">
        <f t="shared" si="8"/>
        <v>44872</v>
      </c>
      <c r="C13" s="42" t="str">
        <f t="shared" si="2"/>
        <v>Mon</v>
      </c>
      <c r="D13" s="289">
        <v>0.63177627999999997</v>
      </c>
      <c r="E13" s="289">
        <v>0.59128838000000006</v>
      </c>
      <c r="F13" s="289">
        <v>0.81678954999999998</v>
      </c>
      <c r="G13" s="345">
        <v>17032.782653499999</v>
      </c>
      <c r="H13" s="275">
        <v>0.56100000000000005</v>
      </c>
      <c r="I13" s="95"/>
      <c r="J13" s="344">
        <v>0</v>
      </c>
      <c r="K13" s="351">
        <v>3103272</v>
      </c>
      <c r="L13" s="348">
        <v>18266</v>
      </c>
      <c r="M13" s="26"/>
      <c r="N13" s="26"/>
      <c r="O13" s="22"/>
      <c r="P13" s="22">
        <v>85992</v>
      </c>
      <c r="Q13" s="21">
        <v>0</v>
      </c>
      <c r="R13" s="22">
        <v>115811</v>
      </c>
      <c r="S13" s="21">
        <v>0</v>
      </c>
      <c r="T13" s="109">
        <v>0</v>
      </c>
      <c r="U13" s="109">
        <v>0</v>
      </c>
      <c r="V13" s="105">
        <f t="shared" si="0"/>
        <v>0</v>
      </c>
      <c r="W13" s="109">
        <v>0</v>
      </c>
      <c r="X13" s="109">
        <v>18389</v>
      </c>
      <c r="Y13" s="49">
        <f t="shared" si="5"/>
        <v>18389</v>
      </c>
      <c r="Z13" s="44">
        <v>0</v>
      </c>
      <c r="AA13" s="44">
        <v>0</v>
      </c>
      <c r="AB13" s="259">
        <v>0</v>
      </c>
      <c r="AC13" s="106">
        <v>19.739999999999782</v>
      </c>
      <c r="AD13" s="106"/>
      <c r="AE13" s="106"/>
      <c r="AF13" s="106"/>
      <c r="AG13" s="245"/>
      <c r="AH13" s="245"/>
      <c r="AI13" s="245"/>
      <c r="AJ13" s="242">
        <f t="shared" si="3"/>
        <v>0</v>
      </c>
      <c r="AK13" s="243">
        <f t="shared" si="11"/>
        <v>0</v>
      </c>
      <c r="AL13" s="193"/>
      <c r="AM13" s="7">
        <v>158.12</v>
      </c>
      <c r="AN13" s="7">
        <f t="shared" si="6"/>
        <v>1633.0500000000002</v>
      </c>
      <c r="AO13" s="84">
        <v>497143</v>
      </c>
      <c r="AP13" s="76">
        <f t="shared" si="9"/>
        <v>2671</v>
      </c>
      <c r="AQ13" s="84">
        <v>70547</v>
      </c>
      <c r="AR13" s="76">
        <f t="shared" si="12"/>
        <v>342</v>
      </c>
      <c r="AS13" s="84">
        <v>10245</v>
      </c>
      <c r="AT13" s="76">
        <f t="shared" si="4"/>
        <v>42</v>
      </c>
      <c r="AU13" s="76">
        <v>85992</v>
      </c>
      <c r="AV13" s="227">
        <f t="shared" si="10"/>
        <v>0</v>
      </c>
      <c r="AW13" s="76">
        <v>115817</v>
      </c>
      <c r="AX13" s="227">
        <f t="shared" si="7"/>
        <v>0</v>
      </c>
      <c r="AY13" s="49">
        <f t="shared" si="1"/>
        <v>0</v>
      </c>
      <c r="AZ13" s="17" t="s">
        <v>84</v>
      </c>
      <c r="BB13" s="79"/>
      <c r="BC13" s="74"/>
      <c r="BD13" s="74"/>
    </row>
    <row r="14" spans="2:56" x14ac:dyDescent="0.25">
      <c r="B14" s="8">
        <f t="shared" si="8"/>
        <v>44873</v>
      </c>
      <c r="C14" s="42" t="str">
        <f t="shared" si="2"/>
        <v>Tue</v>
      </c>
      <c r="D14" s="289">
        <v>0.75441635000000007</v>
      </c>
      <c r="E14" s="289">
        <v>0.66677803000000002</v>
      </c>
      <c r="F14" s="289">
        <v>0.63851460000000004</v>
      </c>
      <c r="G14" s="345">
        <v>17198.569983000001</v>
      </c>
      <c r="H14" s="276">
        <v>0.55900000000000005</v>
      </c>
      <c r="I14" s="95"/>
      <c r="J14" s="344">
        <v>0</v>
      </c>
      <c r="K14" s="351">
        <v>3122296</v>
      </c>
      <c r="L14" s="348">
        <v>19024</v>
      </c>
      <c r="M14" s="26"/>
      <c r="N14" s="26"/>
      <c r="O14" s="22"/>
      <c r="P14" s="22">
        <v>85992</v>
      </c>
      <c r="Q14" s="21">
        <v>0</v>
      </c>
      <c r="R14" s="22">
        <v>115811</v>
      </c>
      <c r="S14" s="21">
        <v>0</v>
      </c>
      <c r="T14" s="109">
        <v>0</v>
      </c>
      <c r="U14" s="109">
        <v>0</v>
      </c>
      <c r="V14" s="105">
        <f t="shared" si="0"/>
        <v>0</v>
      </c>
      <c r="W14" s="109">
        <v>0</v>
      </c>
      <c r="X14" s="109">
        <v>18967</v>
      </c>
      <c r="Y14" s="49">
        <f t="shared" si="5"/>
        <v>18967</v>
      </c>
      <c r="Z14" s="44">
        <v>0</v>
      </c>
      <c r="AA14" s="44">
        <v>0</v>
      </c>
      <c r="AB14" s="259">
        <v>0</v>
      </c>
      <c r="AC14" s="106">
        <v>23.840000000000146</v>
      </c>
      <c r="AD14" s="106"/>
      <c r="AE14" s="106"/>
      <c r="AF14" s="106"/>
      <c r="AG14" s="245"/>
      <c r="AH14" s="245"/>
      <c r="AI14" s="245"/>
      <c r="AJ14" s="242">
        <f t="shared" si="3"/>
        <v>0</v>
      </c>
      <c r="AK14" s="243">
        <f t="shared" si="11"/>
        <v>0</v>
      </c>
      <c r="AL14" s="190"/>
      <c r="AM14" s="7">
        <v>289.94</v>
      </c>
      <c r="AN14" s="7">
        <f t="shared" si="6"/>
        <v>1922.9900000000002</v>
      </c>
      <c r="AO14" s="84">
        <v>500416</v>
      </c>
      <c r="AP14" s="76">
        <f t="shared" si="9"/>
        <v>3273</v>
      </c>
      <c r="AQ14" s="84">
        <v>70875</v>
      </c>
      <c r="AR14" s="76">
        <f t="shared" si="12"/>
        <v>328</v>
      </c>
      <c r="AS14" s="84">
        <v>10281</v>
      </c>
      <c r="AT14" s="76">
        <f t="shared" si="4"/>
        <v>36</v>
      </c>
      <c r="AU14" s="76">
        <v>85992</v>
      </c>
      <c r="AV14" s="227">
        <f t="shared" si="10"/>
        <v>0</v>
      </c>
      <c r="AW14" s="76">
        <v>115817</v>
      </c>
      <c r="AX14" s="227">
        <f t="shared" si="7"/>
        <v>0</v>
      </c>
      <c r="AY14" s="49">
        <f t="shared" si="1"/>
        <v>0</v>
      </c>
      <c r="AZ14" s="17">
        <v>2</v>
      </c>
      <c r="BB14" s="79"/>
      <c r="BC14" s="74"/>
      <c r="BD14" s="74"/>
    </row>
    <row r="15" spans="2:56" x14ac:dyDescent="0.25">
      <c r="B15" s="8">
        <f t="shared" si="8"/>
        <v>44874</v>
      </c>
      <c r="C15" s="42" t="str">
        <f t="shared" si="2"/>
        <v>Wed</v>
      </c>
      <c r="D15" s="289">
        <v>0.67505477999999997</v>
      </c>
      <c r="E15" s="289">
        <v>0.73127182000000002</v>
      </c>
      <c r="F15" s="289">
        <v>0.57123767999999997</v>
      </c>
      <c r="G15" s="345">
        <v>16512.661737999999</v>
      </c>
      <c r="H15" s="276">
        <v>0.55800000000000005</v>
      </c>
      <c r="I15" s="95"/>
      <c r="J15" s="344">
        <v>0</v>
      </c>
      <c r="K15" s="352">
        <v>3143282</v>
      </c>
      <c r="L15" s="348">
        <v>20986</v>
      </c>
      <c r="M15" s="25"/>
      <c r="N15" s="25"/>
      <c r="O15" s="22"/>
      <c r="P15" s="22">
        <v>85992</v>
      </c>
      <c r="Q15" s="21">
        <v>0</v>
      </c>
      <c r="R15" s="22">
        <v>115811</v>
      </c>
      <c r="S15" s="21">
        <v>0</v>
      </c>
      <c r="T15" s="109">
        <v>0</v>
      </c>
      <c r="U15" s="109">
        <v>0</v>
      </c>
      <c r="V15" s="105">
        <f t="shared" si="0"/>
        <v>0</v>
      </c>
      <c r="W15" s="109">
        <v>0</v>
      </c>
      <c r="X15" s="109">
        <v>20920</v>
      </c>
      <c r="Y15" s="49">
        <f t="shared" si="5"/>
        <v>20920</v>
      </c>
      <c r="Z15" s="44">
        <v>0</v>
      </c>
      <c r="AA15" s="44">
        <v>0</v>
      </c>
      <c r="AB15" s="259">
        <v>0</v>
      </c>
      <c r="AC15" s="106">
        <v>23.740000000000236</v>
      </c>
      <c r="AD15" s="106"/>
      <c r="AE15" s="106"/>
      <c r="AF15" s="106"/>
      <c r="AG15" s="245"/>
      <c r="AH15" s="245"/>
      <c r="AI15" s="245"/>
      <c r="AJ15" s="242">
        <f t="shared" si="3"/>
        <v>0</v>
      </c>
      <c r="AK15" s="243">
        <f t="shared" si="11"/>
        <v>0</v>
      </c>
      <c r="AL15" s="190"/>
      <c r="AM15" s="7">
        <v>268.86</v>
      </c>
      <c r="AN15" s="7">
        <f t="shared" si="6"/>
        <v>2191.8500000000004</v>
      </c>
      <c r="AO15" s="84">
        <v>503485</v>
      </c>
      <c r="AP15" s="76">
        <f t="shared" si="9"/>
        <v>3069</v>
      </c>
      <c r="AQ15" s="84">
        <v>71225</v>
      </c>
      <c r="AR15" s="76">
        <f t="shared" si="12"/>
        <v>350</v>
      </c>
      <c r="AS15" s="84">
        <v>10325</v>
      </c>
      <c r="AT15" s="76">
        <f t="shared" si="4"/>
        <v>44</v>
      </c>
      <c r="AU15" s="76">
        <v>85992</v>
      </c>
      <c r="AV15" s="227">
        <f t="shared" si="10"/>
        <v>0</v>
      </c>
      <c r="AW15" s="76">
        <v>115817</v>
      </c>
      <c r="AX15" s="227">
        <f t="shared" si="7"/>
        <v>0</v>
      </c>
      <c r="AY15" s="49">
        <f t="shared" si="1"/>
        <v>0</v>
      </c>
      <c r="AZ15" s="17">
        <v>2</v>
      </c>
      <c r="BB15" s="79"/>
      <c r="BC15" s="74"/>
      <c r="BD15" s="74"/>
    </row>
    <row r="16" spans="2:56" x14ac:dyDescent="0.25">
      <c r="B16" s="8">
        <f t="shared" si="8"/>
        <v>44875</v>
      </c>
      <c r="C16" s="42" t="str">
        <f t="shared" si="2"/>
        <v>Thu</v>
      </c>
      <c r="D16" s="289">
        <v>0.80640686000000006</v>
      </c>
      <c r="E16" s="289">
        <v>0.59342430000000002</v>
      </c>
      <c r="F16" s="289">
        <v>0.72837249999999998</v>
      </c>
      <c r="G16" s="345">
        <v>17770.500561000001</v>
      </c>
      <c r="H16" s="276">
        <v>0.55500000000000005</v>
      </c>
      <c r="I16" s="95"/>
      <c r="J16" s="344">
        <v>0</v>
      </c>
      <c r="K16" s="352">
        <v>3163948</v>
      </c>
      <c r="L16" s="348">
        <v>20666</v>
      </c>
      <c r="M16" s="23"/>
      <c r="N16" s="23"/>
      <c r="O16" s="22"/>
      <c r="P16" s="22">
        <v>85992</v>
      </c>
      <c r="Q16" s="21">
        <v>0</v>
      </c>
      <c r="R16" s="22">
        <v>115811</v>
      </c>
      <c r="S16" s="21">
        <v>0</v>
      </c>
      <c r="T16" s="109">
        <v>0</v>
      </c>
      <c r="U16" s="109">
        <v>0</v>
      </c>
      <c r="V16" s="105">
        <f t="shared" si="0"/>
        <v>0</v>
      </c>
      <c r="W16" s="109">
        <v>0</v>
      </c>
      <c r="X16" s="109">
        <v>20666</v>
      </c>
      <c r="Y16" s="49">
        <f t="shared" si="5"/>
        <v>20666</v>
      </c>
      <c r="Z16" s="44">
        <v>0</v>
      </c>
      <c r="AA16" s="44">
        <v>0</v>
      </c>
      <c r="AB16" s="259">
        <v>0</v>
      </c>
      <c r="AC16" s="106">
        <v>23.989999999999782</v>
      </c>
      <c r="AD16" s="106"/>
      <c r="AE16" s="106"/>
      <c r="AF16" s="106"/>
      <c r="AG16" s="244"/>
      <c r="AH16" s="244"/>
      <c r="AI16" s="244"/>
      <c r="AJ16" s="242">
        <f t="shared" si="3"/>
        <v>0</v>
      </c>
      <c r="AK16" s="243">
        <f t="shared" si="11"/>
        <v>0</v>
      </c>
      <c r="AL16" s="190"/>
      <c r="AM16" s="7">
        <v>262.29000000000002</v>
      </c>
      <c r="AN16" s="7">
        <f t="shared" si="6"/>
        <v>2454.1400000000003</v>
      </c>
      <c r="AO16" s="84">
        <v>506423</v>
      </c>
      <c r="AP16" s="76">
        <f t="shared" si="9"/>
        <v>2938</v>
      </c>
      <c r="AQ16" s="84">
        <v>71567</v>
      </c>
      <c r="AR16" s="76">
        <f t="shared" si="12"/>
        <v>342</v>
      </c>
      <c r="AS16" s="84">
        <v>10384</v>
      </c>
      <c r="AT16" s="76">
        <f t="shared" si="4"/>
        <v>59</v>
      </c>
      <c r="AU16" s="76">
        <v>85992</v>
      </c>
      <c r="AV16" s="227">
        <f t="shared" si="10"/>
        <v>0</v>
      </c>
      <c r="AW16" s="76">
        <v>115817</v>
      </c>
      <c r="AX16" s="227">
        <f t="shared" si="7"/>
        <v>0</v>
      </c>
      <c r="AY16" s="49">
        <f t="shared" si="1"/>
        <v>0</v>
      </c>
      <c r="AZ16" s="17">
        <v>2</v>
      </c>
      <c r="BB16" s="79"/>
      <c r="BC16" s="74"/>
      <c r="BD16" s="74"/>
    </row>
    <row r="17" spans="2:56" x14ac:dyDescent="0.25">
      <c r="B17" s="8">
        <f t="shared" si="8"/>
        <v>44876</v>
      </c>
      <c r="C17" s="42" t="str">
        <f t="shared" si="2"/>
        <v>Fri</v>
      </c>
      <c r="D17" s="289">
        <v>0.73780608999999997</v>
      </c>
      <c r="E17" s="289">
        <v>0.73881012000000001</v>
      </c>
      <c r="F17" s="289">
        <v>0.54687817000000005</v>
      </c>
      <c r="G17" s="345">
        <v>16896.178072999999</v>
      </c>
      <c r="H17" s="275">
        <v>0.55600000000000005</v>
      </c>
      <c r="I17" s="95"/>
      <c r="J17" s="344">
        <v>0</v>
      </c>
      <c r="K17" s="352">
        <v>3185881</v>
      </c>
      <c r="L17" s="348">
        <v>21933</v>
      </c>
      <c r="M17" s="26"/>
      <c r="N17" s="26"/>
      <c r="O17" s="22"/>
      <c r="P17" s="22">
        <v>85992</v>
      </c>
      <c r="Q17" s="21">
        <v>0</v>
      </c>
      <c r="R17" s="22">
        <v>115811</v>
      </c>
      <c r="S17" s="21">
        <v>0</v>
      </c>
      <c r="T17" s="109">
        <v>0</v>
      </c>
      <c r="U17" s="109">
        <v>0</v>
      </c>
      <c r="V17" s="105">
        <f t="shared" ref="V17:V36" si="13">SUM(T17:U17)</f>
        <v>0</v>
      </c>
      <c r="W17" s="109">
        <v>0</v>
      </c>
      <c r="X17" s="109">
        <v>21933</v>
      </c>
      <c r="Y17" s="49">
        <f t="shared" si="5"/>
        <v>21933</v>
      </c>
      <c r="Z17" s="44">
        <v>0</v>
      </c>
      <c r="AA17" s="44">
        <v>0</v>
      </c>
      <c r="AB17" s="259">
        <v>0</v>
      </c>
      <c r="AC17" s="106">
        <v>24.0300000000002</v>
      </c>
      <c r="AD17" s="106"/>
      <c r="AE17" s="106"/>
      <c r="AF17" s="106"/>
      <c r="AG17" s="244"/>
      <c r="AH17" s="244"/>
      <c r="AI17" s="244"/>
      <c r="AJ17" s="242">
        <f t="shared" si="3"/>
        <v>0</v>
      </c>
      <c r="AK17" s="243">
        <f t="shared" si="11"/>
        <v>0</v>
      </c>
      <c r="AL17" s="92"/>
      <c r="AM17" s="102">
        <v>323.04000000000002</v>
      </c>
      <c r="AN17" s="7">
        <f t="shared" si="6"/>
        <v>2777.1800000000003</v>
      </c>
      <c r="AO17" s="84">
        <v>509708</v>
      </c>
      <c r="AP17" s="76">
        <f t="shared" si="9"/>
        <v>3285</v>
      </c>
      <c r="AQ17" s="84">
        <v>71979</v>
      </c>
      <c r="AR17" s="76">
        <f t="shared" si="12"/>
        <v>412</v>
      </c>
      <c r="AS17" s="84">
        <v>10442</v>
      </c>
      <c r="AT17" s="76">
        <f t="shared" si="4"/>
        <v>58</v>
      </c>
      <c r="AU17" s="76">
        <v>85992</v>
      </c>
      <c r="AV17" s="227">
        <f t="shared" si="10"/>
        <v>0</v>
      </c>
      <c r="AW17" s="76">
        <v>115817</v>
      </c>
      <c r="AX17" s="227">
        <f t="shared" si="7"/>
        <v>0</v>
      </c>
      <c r="AY17" s="49">
        <f t="shared" si="1"/>
        <v>0</v>
      </c>
      <c r="AZ17" s="17">
        <v>2</v>
      </c>
      <c r="BB17" s="79"/>
      <c r="BC17" s="74"/>
      <c r="BD17" s="74"/>
    </row>
    <row r="18" spans="2:56" x14ac:dyDescent="0.25">
      <c r="B18" s="8">
        <f t="shared" si="8"/>
        <v>44877</v>
      </c>
      <c r="C18" s="42" t="str">
        <f t="shared" si="2"/>
        <v>Sat</v>
      </c>
      <c r="D18" s="289">
        <v>0.20891991000000001</v>
      </c>
      <c r="E18" s="289">
        <v>0.26203934000000001</v>
      </c>
      <c r="F18" s="289">
        <v>0.15394093</v>
      </c>
      <c r="G18" s="345">
        <v>5217.9165030000004</v>
      </c>
      <c r="H18" s="275">
        <v>0.55800000000000005</v>
      </c>
      <c r="I18" s="95"/>
      <c r="J18" s="344">
        <v>0</v>
      </c>
      <c r="K18" s="352">
        <v>3214637</v>
      </c>
      <c r="L18" s="348">
        <v>28756</v>
      </c>
      <c r="M18" s="26"/>
      <c r="N18" s="26"/>
      <c r="O18" s="22"/>
      <c r="P18" s="22">
        <v>85992</v>
      </c>
      <c r="Q18" s="21">
        <v>0</v>
      </c>
      <c r="R18" s="22">
        <v>115811</v>
      </c>
      <c r="S18" s="21">
        <v>0</v>
      </c>
      <c r="T18" s="109">
        <v>0</v>
      </c>
      <c r="U18" s="109">
        <v>0</v>
      </c>
      <c r="V18" s="105">
        <f t="shared" si="13"/>
        <v>0</v>
      </c>
      <c r="W18" s="109">
        <v>0</v>
      </c>
      <c r="X18" s="109">
        <v>28756</v>
      </c>
      <c r="Y18" s="49">
        <f t="shared" si="5"/>
        <v>28756</v>
      </c>
      <c r="Z18" s="44">
        <v>0</v>
      </c>
      <c r="AA18" s="44">
        <v>0</v>
      </c>
      <c r="AB18" s="259">
        <v>0</v>
      </c>
      <c r="AC18" s="106">
        <v>23.949999999999818</v>
      </c>
      <c r="AD18" s="106"/>
      <c r="AE18" s="106"/>
      <c r="AF18" s="106"/>
      <c r="AG18" s="239"/>
      <c r="AH18" s="239"/>
      <c r="AI18" s="239"/>
      <c r="AJ18" s="242">
        <f t="shared" si="3"/>
        <v>0</v>
      </c>
      <c r="AK18" s="243">
        <f t="shared" si="11"/>
        <v>0</v>
      </c>
      <c r="AL18" s="92"/>
      <c r="AM18" s="335">
        <v>262.3</v>
      </c>
      <c r="AN18" s="7">
        <f t="shared" si="6"/>
        <v>3039.4800000000005</v>
      </c>
      <c r="AO18" s="84">
        <v>513500</v>
      </c>
      <c r="AP18" s="76">
        <f t="shared" si="9"/>
        <v>3792</v>
      </c>
      <c r="AQ18" s="84">
        <v>72200</v>
      </c>
      <c r="AR18" s="76">
        <f t="shared" si="12"/>
        <v>221</v>
      </c>
      <c r="AS18" s="84">
        <v>10487</v>
      </c>
      <c r="AT18" s="76">
        <f t="shared" si="4"/>
        <v>45</v>
      </c>
      <c r="AU18" s="76">
        <v>85992</v>
      </c>
      <c r="AV18" s="227">
        <f t="shared" si="10"/>
        <v>0</v>
      </c>
      <c r="AW18" s="76">
        <v>115817</v>
      </c>
      <c r="AX18" s="227">
        <f t="shared" si="7"/>
        <v>0</v>
      </c>
      <c r="AY18" s="49">
        <f t="shared" si="1"/>
        <v>0</v>
      </c>
      <c r="AZ18" s="17">
        <v>2</v>
      </c>
      <c r="BB18" s="79"/>
      <c r="BC18" s="74"/>
      <c r="BD18" s="74"/>
    </row>
    <row r="19" spans="2:56" x14ac:dyDescent="0.25">
      <c r="B19" s="8">
        <f t="shared" si="8"/>
        <v>44878</v>
      </c>
      <c r="C19" s="42" t="str">
        <f t="shared" si="2"/>
        <v>Sun</v>
      </c>
      <c r="D19" s="289">
        <v>0.93800185999999997</v>
      </c>
      <c r="E19" s="289">
        <v>0.76123337000000002</v>
      </c>
      <c r="F19" s="289">
        <v>0.60546679999999997</v>
      </c>
      <c r="G19" s="345">
        <v>19244.261950499997</v>
      </c>
      <c r="H19" s="276">
        <v>0.56299999999999994</v>
      </c>
      <c r="I19" s="95"/>
      <c r="J19" s="344">
        <v>0</v>
      </c>
      <c r="K19" s="352">
        <v>3221109</v>
      </c>
      <c r="L19" s="348">
        <v>6472</v>
      </c>
      <c r="M19" s="26"/>
      <c r="N19" s="26"/>
      <c r="O19" s="22"/>
      <c r="P19" s="22">
        <v>85992</v>
      </c>
      <c r="Q19" s="21">
        <v>0</v>
      </c>
      <c r="R19" s="22">
        <v>115811</v>
      </c>
      <c r="S19" s="21">
        <v>0</v>
      </c>
      <c r="T19" s="109">
        <v>0</v>
      </c>
      <c r="U19" s="109">
        <v>0</v>
      </c>
      <c r="V19" s="105">
        <f t="shared" si="13"/>
        <v>0</v>
      </c>
      <c r="W19" s="109">
        <v>0</v>
      </c>
      <c r="X19" s="103">
        <v>6096</v>
      </c>
      <c r="Y19" s="49">
        <f t="shared" si="5"/>
        <v>6096</v>
      </c>
      <c r="Z19" s="44">
        <v>0</v>
      </c>
      <c r="AA19" s="44">
        <v>0</v>
      </c>
      <c r="AB19" s="259">
        <v>0</v>
      </c>
      <c r="AC19" s="106">
        <v>5.8800000000001091</v>
      </c>
      <c r="AD19" s="106"/>
      <c r="AE19" s="106"/>
      <c r="AF19" s="106"/>
      <c r="AG19" s="244"/>
      <c r="AH19" s="244"/>
      <c r="AI19" s="244"/>
      <c r="AJ19" s="242">
        <f t="shared" si="3"/>
        <v>0</v>
      </c>
      <c r="AK19" s="243">
        <f t="shared" si="11"/>
        <v>0</v>
      </c>
      <c r="AL19" s="92"/>
      <c r="AM19" s="336">
        <v>0</v>
      </c>
      <c r="AN19" s="7">
        <f t="shared" si="6"/>
        <v>3039.4800000000005</v>
      </c>
      <c r="AO19" s="84">
        <v>516314</v>
      </c>
      <c r="AP19" s="76">
        <f t="shared" si="9"/>
        <v>2814</v>
      </c>
      <c r="AQ19" s="84">
        <v>72506</v>
      </c>
      <c r="AR19" s="76">
        <f t="shared" si="12"/>
        <v>306</v>
      </c>
      <c r="AS19" s="84">
        <v>10534</v>
      </c>
      <c r="AT19" s="76">
        <f t="shared" si="4"/>
        <v>47</v>
      </c>
      <c r="AU19" s="76">
        <v>85992</v>
      </c>
      <c r="AV19" s="227">
        <f t="shared" si="10"/>
        <v>0</v>
      </c>
      <c r="AW19" s="76">
        <v>115817</v>
      </c>
      <c r="AX19" s="227">
        <f t="shared" si="7"/>
        <v>0</v>
      </c>
      <c r="AY19" s="49">
        <f t="shared" si="1"/>
        <v>0</v>
      </c>
      <c r="AZ19" s="17" t="s">
        <v>54</v>
      </c>
      <c r="BB19" s="79"/>
      <c r="BC19" s="74"/>
      <c r="BD19" s="74"/>
    </row>
    <row r="20" spans="2:56" x14ac:dyDescent="0.25">
      <c r="B20" s="8">
        <f t="shared" si="8"/>
        <v>44879</v>
      </c>
      <c r="C20" s="42" t="str">
        <f t="shared" si="2"/>
        <v>Mon</v>
      </c>
      <c r="D20" s="289">
        <v>0.61965378000000004</v>
      </c>
      <c r="E20" s="289">
        <v>0.80249686999999992</v>
      </c>
      <c r="F20" s="289">
        <v>0.57136889999999996</v>
      </c>
      <c r="G20" s="345">
        <v>16645.888242499997</v>
      </c>
      <c r="H20" s="276">
        <v>0.56000000000000005</v>
      </c>
      <c r="I20" s="95"/>
      <c r="J20" s="344">
        <v>0</v>
      </c>
      <c r="K20" s="352">
        <v>3241530</v>
      </c>
      <c r="L20" s="348">
        <v>20421</v>
      </c>
      <c r="M20" s="26"/>
      <c r="N20" s="26"/>
      <c r="O20" s="22"/>
      <c r="P20" s="22">
        <v>85992</v>
      </c>
      <c r="Q20" s="21">
        <v>0</v>
      </c>
      <c r="R20" s="22">
        <v>115811</v>
      </c>
      <c r="S20" s="21">
        <v>0</v>
      </c>
      <c r="T20" s="109">
        <v>0</v>
      </c>
      <c r="U20" s="109">
        <v>0</v>
      </c>
      <c r="V20" s="105">
        <f t="shared" si="13"/>
        <v>0</v>
      </c>
      <c r="W20" s="109">
        <v>0</v>
      </c>
      <c r="X20" s="103">
        <v>20107</v>
      </c>
      <c r="Y20" s="49">
        <f t="shared" si="5"/>
        <v>20107</v>
      </c>
      <c r="Z20" s="44">
        <v>0</v>
      </c>
      <c r="AA20" s="44">
        <v>0</v>
      </c>
      <c r="AB20" s="259">
        <v>0</v>
      </c>
      <c r="AC20" s="106">
        <v>25.349999999999909</v>
      </c>
      <c r="AD20" s="106"/>
      <c r="AE20" s="106"/>
      <c r="AF20" s="106"/>
      <c r="AG20" s="244"/>
      <c r="AH20" s="244"/>
      <c r="AI20" s="244"/>
      <c r="AJ20" s="242">
        <f t="shared" si="3"/>
        <v>0</v>
      </c>
      <c r="AK20" s="243">
        <f t="shared" si="11"/>
        <v>0</v>
      </c>
      <c r="AL20" s="92"/>
      <c r="AM20" s="337">
        <v>106.36</v>
      </c>
      <c r="AN20" s="7">
        <f t="shared" si="6"/>
        <v>3145.8400000000006</v>
      </c>
      <c r="AO20" s="84">
        <v>520070</v>
      </c>
      <c r="AP20" s="76">
        <f t="shared" si="9"/>
        <v>3756</v>
      </c>
      <c r="AQ20" s="84">
        <v>72821</v>
      </c>
      <c r="AR20" s="76">
        <f t="shared" si="12"/>
        <v>315</v>
      </c>
      <c r="AS20" s="84">
        <v>10569</v>
      </c>
      <c r="AT20" s="76">
        <f t="shared" si="4"/>
        <v>35</v>
      </c>
      <c r="AU20" s="76">
        <v>85992</v>
      </c>
      <c r="AV20" s="227">
        <f t="shared" si="10"/>
        <v>0</v>
      </c>
      <c r="AW20" s="76">
        <v>115817</v>
      </c>
      <c r="AX20" s="227">
        <f t="shared" si="7"/>
        <v>0</v>
      </c>
      <c r="AY20" s="49">
        <f t="shared" si="1"/>
        <v>0</v>
      </c>
      <c r="AZ20" s="17" t="s">
        <v>84</v>
      </c>
      <c r="BB20" s="79"/>
      <c r="BC20" s="74"/>
      <c r="BD20" s="74"/>
    </row>
    <row r="21" spans="2:56" x14ac:dyDescent="0.25">
      <c r="B21" s="8">
        <f t="shared" si="8"/>
        <v>44880</v>
      </c>
      <c r="C21" s="42" t="str">
        <f t="shared" si="2"/>
        <v>Tue</v>
      </c>
      <c r="D21" s="289">
        <v>0.78915908999999995</v>
      </c>
      <c r="E21" s="289">
        <v>0.64756546000000004</v>
      </c>
      <c r="F21" s="289">
        <v>0.60491360000000005</v>
      </c>
      <c r="G21" s="345">
        <v>17047.678552500001</v>
      </c>
      <c r="H21" s="277">
        <v>0.56100000000000005</v>
      </c>
      <c r="I21" s="95"/>
      <c r="J21" s="344">
        <v>0</v>
      </c>
      <c r="K21" s="351">
        <v>3258282</v>
      </c>
      <c r="L21" s="348">
        <v>16752</v>
      </c>
      <c r="M21" s="26"/>
      <c r="N21" s="26"/>
      <c r="O21" s="22"/>
      <c r="P21" s="22">
        <v>85992</v>
      </c>
      <c r="Q21" s="21">
        <v>0</v>
      </c>
      <c r="R21" s="22">
        <v>115811</v>
      </c>
      <c r="S21" s="21">
        <v>0</v>
      </c>
      <c r="T21" s="109">
        <v>0</v>
      </c>
      <c r="U21" s="109">
        <v>0</v>
      </c>
      <c r="V21" s="105">
        <f t="shared" si="13"/>
        <v>0</v>
      </c>
      <c r="W21" s="109">
        <v>0</v>
      </c>
      <c r="X21" s="103">
        <v>17442</v>
      </c>
      <c r="Y21" s="49">
        <f t="shared" si="5"/>
        <v>17442</v>
      </c>
      <c r="Z21" s="44">
        <v>0</v>
      </c>
      <c r="AA21" s="44">
        <v>0</v>
      </c>
      <c r="AB21" s="259">
        <v>0</v>
      </c>
      <c r="AC21" s="106">
        <v>23.449999999999818</v>
      </c>
      <c r="AD21" s="106"/>
      <c r="AE21" s="106"/>
      <c r="AF21" s="106"/>
      <c r="AG21" s="244"/>
      <c r="AH21" s="244"/>
      <c r="AI21" s="244"/>
      <c r="AJ21" s="242">
        <f t="shared" si="3"/>
        <v>0</v>
      </c>
      <c r="AK21" s="243">
        <f t="shared" si="11"/>
        <v>0</v>
      </c>
      <c r="AL21" s="92"/>
      <c r="AM21" s="337">
        <v>327.12</v>
      </c>
      <c r="AN21" s="7">
        <f t="shared" si="6"/>
        <v>3472.9600000000005</v>
      </c>
      <c r="AO21" s="84">
        <v>523686</v>
      </c>
      <c r="AP21" s="76">
        <f t="shared" si="9"/>
        <v>3616</v>
      </c>
      <c r="AQ21" s="84">
        <v>73142</v>
      </c>
      <c r="AR21" s="76">
        <f t="shared" si="12"/>
        <v>321</v>
      </c>
      <c r="AS21" s="84">
        <v>10616</v>
      </c>
      <c r="AT21" s="76">
        <f t="shared" si="4"/>
        <v>47</v>
      </c>
      <c r="AU21" s="76">
        <v>85992</v>
      </c>
      <c r="AV21" s="227">
        <f t="shared" si="10"/>
        <v>0</v>
      </c>
      <c r="AW21" s="76">
        <v>115817</v>
      </c>
      <c r="AX21" s="227">
        <f t="shared" si="7"/>
        <v>0</v>
      </c>
      <c r="AY21" s="49">
        <f t="shared" si="1"/>
        <v>0</v>
      </c>
      <c r="AZ21" s="17">
        <v>2</v>
      </c>
      <c r="BC21" s="74"/>
      <c r="BD21" s="74"/>
    </row>
    <row r="22" spans="2:56" x14ac:dyDescent="0.25">
      <c r="B22" s="8">
        <f t="shared" si="8"/>
        <v>44881</v>
      </c>
      <c r="C22" s="42" t="str">
        <f t="shared" si="2"/>
        <v>Wed</v>
      </c>
      <c r="D22" s="289">
        <v>0.46858611999999999</v>
      </c>
      <c r="E22" s="289">
        <v>0.69839149000000011</v>
      </c>
      <c r="F22" s="289">
        <v>0.40014445999999998</v>
      </c>
      <c r="G22" s="345">
        <v>13085.469284500001</v>
      </c>
      <c r="H22" s="277">
        <v>0.55700000000000005</v>
      </c>
      <c r="I22" s="95"/>
      <c r="J22" s="344">
        <v>0</v>
      </c>
      <c r="K22" s="351">
        <v>3280453</v>
      </c>
      <c r="L22" s="348">
        <v>22171</v>
      </c>
      <c r="M22" s="26"/>
      <c r="N22" s="26"/>
      <c r="O22" s="22"/>
      <c r="P22" s="22">
        <v>85992</v>
      </c>
      <c r="Q22" s="21">
        <v>0</v>
      </c>
      <c r="R22" s="22">
        <v>115811</v>
      </c>
      <c r="S22" s="21">
        <v>0</v>
      </c>
      <c r="T22" s="109">
        <v>0</v>
      </c>
      <c r="U22" s="109">
        <v>0</v>
      </c>
      <c r="V22" s="105">
        <f t="shared" si="13"/>
        <v>0</v>
      </c>
      <c r="W22" s="109">
        <v>0</v>
      </c>
      <c r="X22" s="103">
        <v>22171</v>
      </c>
      <c r="Y22" s="49">
        <f t="shared" si="5"/>
        <v>22171</v>
      </c>
      <c r="Z22" s="44">
        <v>0</v>
      </c>
      <c r="AA22" s="44">
        <v>0</v>
      </c>
      <c r="AB22" s="259">
        <v>0</v>
      </c>
      <c r="AC22" s="106">
        <v>24.380000000000109</v>
      </c>
      <c r="AD22" s="106"/>
      <c r="AE22" s="106"/>
      <c r="AF22" s="106"/>
      <c r="AG22" s="244"/>
      <c r="AH22" s="244"/>
      <c r="AI22" s="244"/>
      <c r="AJ22" s="242">
        <f t="shared" si="3"/>
        <v>0</v>
      </c>
      <c r="AK22" s="243">
        <f t="shared" si="11"/>
        <v>0</v>
      </c>
      <c r="AL22" s="92"/>
      <c r="AM22" s="338">
        <v>404.12</v>
      </c>
      <c r="AN22" s="7">
        <f t="shared" si="6"/>
        <v>3877.0800000000004</v>
      </c>
      <c r="AO22" s="84">
        <v>527388</v>
      </c>
      <c r="AP22" s="76">
        <f t="shared" si="9"/>
        <v>3702</v>
      </c>
      <c r="AQ22" s="84">
        <v>73530</v>
      </c>
      <c r="AR22" s="76">
        <f t="shared" si="12"/>
        <v>388</v>
      </c>
      <c r="AS22" s="84">
        <v>10666</v>
      </c>
      <c r="AT22" s="76">
        <f t="shared" si="4"/>
        <v>50</v>
      </c>
      <c r="AU22" s="76">
        <v>85992</v>
      </c>
      <c r="AV22" s="227">
        <f t="shared" si="10"/>
        <v>0</v>
      </c>
      <c r="AW22" s="76">
        <v>115817</v>
      </c>
      <c r="AX22" s="227">
        <f t="shared" si="7"/>
        <v>0</v>
      </c>
      <c r="AY22" s="49">
        <f t="shared" si="1"/>
        <v>0</v>
      </c>
      <c r="AZ22" s="17">
        <v>2</v>
      </c>
      <c r="BC22" s="74"/>
      <c r="BD22" s="74"/>
    </row>
    <row r="23" spans="2:56" x14ac:dyDescent="0.25">
      <c r="B23" s="8">
        <f t="shared" si="8"/>
        <v>44882</v>
      </c>
      <c r="C23" s="42" t="str">
        <f t="shared" si="2"/>
        <v>Thu</v>
      </c>
      <c r="D23" s="289">
        <v>0.69117812999999995</v>
      </c>
      <c r="E23" s="289">
        <v>0.49747481999999998</v>
      </c>
      <c r="F23" s="289">
        <v>0.55101909999999998</v>
      </c>
      <c r="G23" s="345">
        <v>14526.2616175</v>
      </c>
      <c r="H23" s="277">
        <v>0.55700000000000005</v>
      </c>
      <c r="I23" s="95"/>
      <c r="J23" s="344">
        <v>0</v>
      </c>
      <c r="K23" s="351">
        <v>3302067</v>
      </c>
      <c r="L23" s="348">
        <v>21614</v>
      </c>
      <c r="M23" s="26"/>
      <c r="N23" s="26"/>
      <c r="O23" s="22"/>
      <c r="P23" s="22">
        <v>85992</v>
      </c>
      <c r="Q23" s="21">
        <v>0</v>
      </c>
      <c r="R23" s="22">
        <v>115811</v>
      </c>
      <c r="S23" s="21">
        <v>0</v>
      </c>
      <c r="T23" s="109">
        <v>649</v>
      </c>
      <c r="U23" s="109">
        <v>0</v>
      </c>
      <c r="V23" s="105">
        <f t="shared" si="13"/>
        <v>649</v>
      </c>
      <c r="W23" s="109">
        <v>0</v>
      </c>
      <c r="X23" s="103">
        <v>21614</v>
      </c>
      <c r="Y23" s="49">
        <f t="shared" si="5"/>
        <v>21614</v>
      </c>
      <c r="Z23" s="44">
        <v>0</v>
      </c>
      <c r="AA23" s="44">
        <v>0</v>
      </c>
      <c r="AB23" s="259">
        <v>0</v>
      </c>
      <c r="AC23" s="106">
        <v>21.509999999999764</v>
      </c>
      <c r="AD23" s="106"/>
      <c r="AE23" s="106"/>
      <c r="AF23" s="106"/>
      <c r="AG23" s="244"/>
      <c r="AH23" s="244"/>
      <c r="AI23" s="244"/>
      <c r="AJ23" s="242">
        <f t="shared" si="3"/>
        <v>0</v>
      </c>
      <c r="AK23" s="243">
        <f t="shared" si="11"/>
        <v>0</v>
      </c>
      <c r="AL23" s="92"/>
      <c r="AM23" s="338">
        <v>327.07</v>
      </c>
      <c r="AN23" s="7">
        <f t="shared" si="6"/>
        <v>4204.1500000000005</v>
      </c>
      <c r="AO23" s="84">
        <v>530276</v>
      </c>
      <c r="AP23" s="76">
        <f t="shared" si="9"/>
        <v>2888</v>
      </c>
      <c r="AQ23" s="84">
        <v>73791</v>
      </c>
      <c r="AR23" s="76">
        <f t="shared" si="12"/>
        <v>261</v>
      </c>
      <c r="AS23" s="84">
        <v>10722</v>
      </c>
      <c r="AT23" s="76">
        <f t="shared" si="4"/>
        <v>56</v>
      </c>
      <c r="AU23" s="76">
        <v>85992</v>
      </c>
      <c r="AV23" s="227">
        <f t="shared" si="10"/>
        <v>0</v>
      </c>
      <c r="AW23" s="76">
        <v>115817</v>
      </c>
      <c r="AX23" s="227">
        <f t="shared" si="7"/>
        <v>0</v>
      </c>
      <c r="AY23" s="49">
        <f t="shared" si="1"/>
        <v>0</v>
      </c>
      <c r="AZ23" s="17">
        <v>2</v>
      </c>
    </row>
    <row r="24" spans="2:56" x14ac:dyDescent="0.25">
      <c r="B24" s="8">
        <f t="shared" si="8"/>
        <v>44883</v>
      </c>
      <c r="C24" s="42" t="str">
        <f t="shared" si="2"/>
        <v>Fri</v>
      </c>
      <c r="D24" s="289">
        <v>0.65345885999999997</v>
      </c>
      <c r="E24" s="289">
        <v>0.70064010999999993</v>
      </c>
      <c r="F24" s="289">
        <v>0.70105605999999998</v>
      </c>
      <c r="G24" s="345">
        <v>17160.5445005</v>
      </c>
      <c r="H24" s="278">
        <v>0.55400000000000005</v>
      </c>
      <c r="I24" s="95"/>
      <c r="J24" s="344">
        <v>0</v>
      </c>
      <c r="K24" s="351">
        <v>3320740</v>
      </c>
      <c r="L24" s="348">
        <v>18673</v>
      </c>
      <c r="M24" s="26"/>
      <c r="N24" s="26"/>
      <c r="O24" s="22"/>
      <c r="P24" s="22">
        <v>85992</v>
      </c>
      <c r="Q24" s="21">
        <v>0</v>
      </c>
      <c r="R24" s="22">
        <v>115811</v>
      </c>
      <c r="S24" s="21">
        <v>0</v>
      </c>
      <c r="T24" s="109">
        <v>0</v>
      </c>
      <c r="U24" s="109">
        <v>0</v>
      </c>
      <c r="V24" s="105">
        <f t="shared" si="13"/>
        <v>0</v>
      </c>
      <c r="W24" s="109">
        <v>0</v>
      </c>
      <c r="X24" s="103">
        <v>18673</v>
      </c>
      <c r="Y24" s="49">
        <f t="shared" si="5"/>
        <v>18673</v>
      </c>
      <c r="Z24" s="44">
        <v>0</v>
      </c>
      <c r="AA24" s="44">
        <v>0</v>
      </c>
      <c r="AB24" s="259">
        <v>0</v>
      </c>
      <c r="AC24" s="106">
        <v>23.940000000000055</v>
      </c>
      <c r="AD24" s="106"/>
      <c r="AE24" s="106"/>
      <c r="AF24" s="106"/>
      <c r="AG24" s="244"/>
      <c r="AH24" s="244"/>
      <c r="AI24" s="244"/>
      <c r="AJ24" s="242">
        <f t="shared" si="3"/>
        <v>0</v>
      </c>
      <c r="AK24" s="243">
        <f t="shared" si="11"/>
        <v>0</v>
      </c>
      <c r="AL24" s="92"/>
      <c r="AM24" s="335">
        <v>276.27</v>
      </c>
      <c r="AN24" s="7">
        <f t="shared" si="6"/>
        <v>4480.42</v>
      </c>
      <c r="AO24" s="84">
        <v>533710</v>
      </c>
      <c r="AP24" s="76">
        <f t="shared" si="9"/>
        <v>3434</v>
      </c>
      <c r="AQ24" s="84">
        <v>74124</v>
      </c>
      <c r="AR24" s="76">
        <f t="shared" si="12"/>
        <v>333</v>
      </c>
      <c r="AS24" s="84">
        <v>10756</v>
      </c>
      <c r="AT24" s="76">
        <f t="shared" si="4"/>
        <v>34</v>
      </c>
      <c r="AU24" s="76">
        <v>85992</v>
      </c>
      <c r="AV24" s="227">
        <f t="shared" si="10"/>
        <v>0</v>
      </c>
      <c r="AW24" s="76">
        <v>115817</v>
      </c>
      <c r="AX24" s="227">
        <f t="shared" si="7"/>
        <v>0</v>
      </c>
      <c r="AY24" s="49">
        <f t="shared" si="1"/>
        <v>0</v>
      </c>
      <c r="AZ24" s="17">
        <v>2</v>
      </c>
      <c r="BB24" s="74"/>
    </row>
    <row r="25" spans="2:56" x14ac:dyDescent="0.25">
      <c r="B25" s="8">
        <f t="shared" si="8"/>
        <v>44884</v>
      </c>
      <c r="C25" s="42" t="str">
        <f t="shared" si="2"/>
        <v>Sat</v>
      </c>
      <c r="D25" s="289">
        <v>0.17958344000000001</v>
      </c>
      <c r="E25" s="289">
        <v>0.14691940000000001</v>
      </c>
      <c r="F25" s="289">
        <v>0.34201839000000001</v>
      </c>
      <c r="G25" s="345">
        <v>5582.1522705000007</v>
      </c>
      <c r="H25" s="278">
        <v>0.55600000000000005</v>
      </c>
      <c r="I25" s="95"/>
      <c r="J25" s="344">
        <v>0</v>
      </c>
      <c r="K25" s="351">
        <v>3348167</v>
      </c>
      <c r="L25" s="348">
        <v>27427</v>
      </c>
      <c r="M25" s="26"/>
      <c r="N25" s="26"/>
      <c r="O25" s="22"/>
      <c r="P25" s="22">
        <v>85992</v>
      </c>
      <c r="Q25" s="21">
        <v>0</v>
      </c>
      <c r="R25" s="22">
        <v>115811</v>
      </c>
      <c r="S25" s="21">
        <v>0</v>
      </c>
      <c r="T25" s="109">
        <v>0</v>
      </c>
      <c r="U25" s="109">
        <v>0</v>
      </c>
      <c r="V25" s="105">
        <f t="shared" si="13"/>
        <v>0</v>
      </c>
      <c r="W25" s="109">
        <v>0</v>
      </c>
      <c r="X25" s="103">
        <v>27427</v>
      </c>
      <c r="Y25" s="49">
        <f t="shared" si="5"/>
        <v>27427</v>
      </c>
      <c r="Z25" s="44">
        <v>0</v>
      </c>
      <c r="AA25" s="44">
        <v>0</v>
      </c>
      <c r="AB25" s="259">
        <v>0</v>
      </c>
      <c r="AC25" s="106">
        <v>24.119999999999891</v>
      </c>
      <c r="AD25" s="106"/>
      <c r="AE25" s="106"/>
      <c r="AF25" s="106"/>
      <c r="AG25" s="244"/>
      <c r="AH25" s="244"/>
      <c r="AI25" s="244"/>
      <c r="AJ25" s="242">
        <f t="shared" si="3"/>
        <v>0</v>
      </c>
      <c r="AK25" s="243">
        <f>AG25+AK24</f>
        <v>0</v>
      </c>
      <c r="AL25" s="92"/>
      <c r="AM25" s="335">
        <v>193.03</v>
      </c>
      <c r="AN25" s="7">
        <f t="shared" si="6"/>
        <v>4673.45</v>
      </c>
      <c r="AO25" s="84">
        <v>537432</v>
      </c>
      <c r="AP25" s="76">
        <f t="shared" si="9"/>
        <v>3722</v>
      </c>
      <c r="AQ25" s="84">
        <v>74425</v>
      </c>
      <c r="AR25" s="76">
        <f t="shared" si="12"/>
        <v>301</v>
      </c>
      <c r="AS25" s="84">
        <v>10790</v>
      </c>
      <c r="AT25" s="76">
        <f t="shared" si="4"/>
        <v>34</v>
      </c>
      <c r="AU25" s="76">
        <v>85992</v>
      </c>
      <c r="AV25" s="227">
        <f t="shared" si="10"/>
        <v>0</v>
      </c>
      <c r="AW25" s="76">
        <v>115817</v>
      </c>
      <c r="AX25" s="227">
        <f t="shared" si="7"/>
        <v>0</v>
      </c>
      <c r="AY25" s="49">
        <f t="shared" si="1"/>
        <v>0</v>
      </c>
      <c r="AZ25" s="17" t="s">
        <v>86</v>
      </c>
      <c r="BB25" s="74"/>
    </row>
    <row r="26" spans="2:56" x14ac:dyDescent="0.25">
      <c r="B26" s="8">
        <f t="shared" si="8"/>
        <v>44885</v>
      </c>
      <c r="C26" s="42" t="str">
        <f t="shared" si="2"/>
        <v>Sun</v>
      </c>
      <c r="D26" s="289">
        <v>0.89585175000000006</v>
      </c>
      <c r="E26" s="289">
        <v>0.67595917000000005</v>
      </c>
      <c r="F26" s="289">
        <v>0.78509003000000011</v>
      </c>
      <c r="G26" s="345">
        <v>19680.122932500002</v>
      </c>
      <c r="H26" s="278">
        <v>0.55600000000000005</v>
      </c>
      <c r="I26" s="95"/>
      <c r="J26" s="344">
        <v>0</v>
      </c>
      <c r="K26" s="351">
        <v>3357300</v>
      </c>
      <c r="L26" s="348">
        <v>9133</v>
      </c>
      <c r="M26" s="26"/>
      <c r="N26" s="26"/>
      <c r="O26" s="22"/>
      <c r="P26" s="22">
        <v>85992</v>
      </c>
      <c r="Q26" s="21">
        <v>0</v>
      </c>
      <c r="R26" s="22">
        <v>115811</v>
      </c>
      <c r="S26" s="21">
        <v>0</v>
      </c>
      <c r="T26" s="109">
        <v>0</v>
      </c>
      <c r="U26" s="109">
        <v>0</v>
      </c>
      <c r="V26" s="105">
        <f t="shared" si="13"/>
        <v>0</v>
      </c>
      <c r="W26" s="109">
        <v>0</v>
      </c>
      <c r="X26" s="103">
        <v>7112</v>
      </c>
      <c r="Y26" s="49">
        <f t="shared" si="5"/>
        <v>7112</v>
      </c>
      <c r="Z26" s="44">
        <v>0</v>
      </c>
      <c r="AA26" s="44">
        <v>0</v>
      </c>
      <c r="AB26" s="259">
        <v>0</v>
      </c>
      <c r="AC26" s="106">
        <v>6.2600000000002183</v>
      </c>
      <c r="AD26" s="106"/>
      <c r="AE26" s="106"/>
      <c r="AF26" s="106"/>
      <c r="AG26" s="244"/>
      <c r="AH26" s="244"/>
      <c r="AI26" s="244"/>
      <c r="AJ26" s="242">
        <f t="shared" si="3"/>
        <v>0</v>
      </c>
      <c r="AK26" s="243">
        <f>AG26+AK25</f>
        <v>0</v>
      </c>
      <c r="AL26" s="92"/>
      <c r="AM26" s="336">
        <v>0</v>
      </c>
      <c r="AN26" s="7">
        <f t="shared" si="6"/>
        <v>4673.45</v>
      </c>
      <c r="AO26" s="84">
        <v>540889</v>
      </c>
      <c r="AP26" s="76">
        <f t="shared" si="9"/>
        <v>3457</v>
      </c>
      <c r="AQ26" s="84">
        <v>74727</v>
      </c>
      <c r="AR26" s="76">
        <f t="shared" si="12"/>
        <v>302</v>
      </c>
      <c r="AS26" s="84">
        <v>10825</v>
      </c>
      <c r="AT26" s="76">
        <f t="shared" si="4"/>
        <v>35</v>
      </c>
      <c r="AU26" s="76">
        <v>85992</v>
      </c>
      <c r="AV26" s="227">
        <f t="shared" si="10"/>
        <v>0</v>
      </c>
      <c r="AW26" s="76">
        <v>115817</v>
      </c>
      <c r="AX26" s="227">
        <f t="shared" si="7"/>
        <v>0</v>
      </c>
      <c r="AY26" s="49">
        <f t="shared" si="1"/>
        <v>0</v>
      </c>
      <c r="AZ26" s="17" t="s">
        <v>54</v>
      </c>
      <c r="BB26" s="74"/>
    </row>
    <row r="27" spans="2:56" x14ac:dyDescent="0.25">
      <c r="B27" s="8">
        <f t="shared" si="8"/>
        <v>44886</v>
      </c>
      <c r="C27" s="42" t="str">
        <f t="shared" si="2"/>
        <v>Mon</v>
      </c>
      <c r="D27" s="289">
        <v>0.57053268000000001</v>
      </c>
      <c r="E27" s="289">
        <v>0.52575493000000006</v>
      </c>
      <c r="F27" s="289">
        <v>0.64604523000000003</v>
      </c>
      <c r="G27" s="345">
        <v>14548.479214000001</v>
      </c>
      <c r="H27" s="278">
        <v>0.55800000000000005</v>
      </c>
      <c r="I27" s="95"/>
      <c r="J27" s="344">
        <v>0</v>
      </c>
      <c r="K27" s="351">
        <v>3377608</v>
      </c>
      <c r="L27" s="348">
        <v>20308</v>
      </c>
      <c r="M27" s="26"/>
      <c r="N27" s="26"/>
      <c r="O27" s="22"/>
      <c r="P27" s="22">
        <v>85992</v>
      </c>
      <c r="Q27" s="21">
        <v>0</v>
      </c>
      <c r="R27" s="22">
        <v>115811</v>
      </c>
      <c r="S27" s="21">
        <v>0</v>
      </c>
      <c r="T27" s="109">
        <v>0</v>
      </c>
      <c r="U27" s="109">
        <v>0</v>
      </c>
      <c r="V27" s="107">
        <f t="shared" si="13"/>
        <v>0</v>
      </c>
      <c r="W27" s="109">
        <v>0</v>
      </c>
      <c r="X27" s="103">
        <v>21502</v>
      </c>
      <c r="Y27" s="49">
        <f t="shared" si="5"/>
        <v>21502</v>
      </c>
      <c r="Z27" s="44">
        <v>0</v>
      </c>
      <c r="AA27" s="44">
        <v>0</v>
      </c>
      <c r="AB27" s="259">
        <v>0</v>
      </c>
      <c r="AC27" s="106">
        <v>23.960000000000036</v>
      </c>
      <c r="AD27" s="106"/>
      <c r="AE27" s="106"/>
      <c r="AF27" s="106"/>
      <c r="AG27" s="244"/>
      <c r="AH27" s="244"/>
      <c r="AI27" s="244"/>
      <c r="AJ27" s="242">
        <f t="shared" si="3"/>
        <v>0</v>
      </c>
      <c r="AK27" s="243">
        <f t="shared" si="11"/>
        <v>0</v>
      </c>
      <c r="AL27" s="92"/>
      <c r="AM27" s="136">
        <v>247.2</v>
      </c>
      <c r="AN27" s="7">
        <f t="shared" si="6"/>
        <v>4920.6499999999996</v>
      </c>
      <c r="AO27" s="84">
        <v>544233</v>
      </c>
      <c r="AP27" s="76">
        <f t="shared" si="9"/>
        <v>3344</v>
      </c>
      <c r="AQ27" s="84">
        <v>75056</v>
      </c>
      <c r="AR27" s="76">
        <f t="shared" si="12"/>
        <v>329</v>
      </c>
      <c r="AS27" s="84">
        <v>10860</v>
      </c>
      <c r="AT27" s="76">
        <f t="shared" si="4"/>
        <v>35</v>
      </c>
      <c r="AU27" s="76">
        <v>85992</v>
      </c>
      <c r="AV27" s="227">
        <f t="shared" si="10"/>
        <v>0</v>
      </c>
      <c r="AW27" s="76">
        <v>115817</v>
      </c>
      <c r="AX27" s="227">
        <f t="shared" si="7"/>
        <v>0</v>
      </c>
      <c r="AY27" s="49">
        <f t="shared" si="1"/>
        <v>0</v>
      </c>
      <c r="AZ27" s="17" t="s">
        <v>84</v>
      </c>
      <c r="BB27" s="74"/>
    </row>
    <row r="28" spans="2:56" ht="15" x14ac:dyDescent="0.25">
      <c r="B28" s="8">
        <f t="shared" si="8"/>
        <v>44887</v>
      </c>
      <c r="C28" s="42" t="str">
        <f t="shared" si="2"/>
        <v>Tue</v>
      </c>
      <c r="D28" s="289">
        <v>0.63523819000000004</v>
      </c>
      <c r="E28" s="289">
        <v>0.50464706000000004</v>
      </c>
      <c r="F28" s="289">
        <v>0.38951861999999998</v>
      </c>
      <c r="G28" s="345">
        <v>12770.522314500002</v>
      </c>
      <c r="H28" s="278">
        <v>0.55700000000000005</v>
      </c>
      <c r="I28" s="95"/>
      <c r="J28" s="344">
        <v>0</v>
      </c>
      <c r="K28" s="351">
        <v>3395552</v>
      </c>
      <c r="L28" s="348">
        <v>17944</v>
      </c>
      <c r="M28" s="26"/>
      <c r="N28" s="26"/>
      <c r="O28" s="22"/>
      <c r="P28" s="22">
        <v>85992</v>
      </c>
      <c r="Q28" s="21">
        <v>0</v>
      </c>
      <c r="R28" s="22">
        <v>115811</v>
      </c>
      <c r="S28" s="21">
        <v>0</v>
      </c>
      <c r="T28" s="109">
        <v>0</v>
      </c>
      <c r="U28" s="109">
        <v>0</v>
      </c>
      <c r="V28" s="107">
        <f t="shared" si="13"/>
        <v>0</v>
      </c>
      <c r="W28" s="109">
        <v>0</v>
      </c>
      <c r="X28" s="103">
        <v>18359</v>
      </c>
      <c r="Y28" s="49">
        <f t="shared" si="5"/>
        <v>18359</v>
      </c>
      <c r="Z28" s="44">
        <v>0</v>
      </c>
      <c r="AA28" s="44">
        <v>0</v>
      </c>
      <c r="AB28" s="259">
        <v>0</v>
      </c>
      <c r="AC28" s="106">
        <v>24.150000000000091</v>
      </c>
      <c r="AD28" s="106"/>
      <c r="AE28" s="106"/>
      <c r="AF28" s="106"/>
      <c r="AG28" s="246"/>
      <c r="AH28" s="246"/>
      <c r="AI28" s="246"/>
      <c r="AJ28" s="242">
        <f t="shared" si="3"/>
        <v>0</v>
      </c>
      <c r="AK28" s="243">
        <f t="shared" si="11"/>
        <v>0</v>
      </c>
      <c r="AL28" s="92"/>
      <c r="AM28" s="136">
        <v>340.5</v>
      </c>
      <c r="AN28" s="7">
        <f t="shared" si="6"/>
        <v>5261.15</v>
      </c>
      <c r="AO28" s="84">
        <v>548347</v>
      </c>
      <c r="AP28" s="76">
        <f t="shared" si="9"/>
        <v>4114</v>
      </c>
      <c r="AQ28" s="84">
        <v>75396</v>
      </c>
      <c r="AR28" s="76">
        <f t="shared" si="12"/>
        <v>340</v>
      </c>
      <c r="AS28" s="84">
        <v>10903</v>
      </c>
      <c r="AT28" s="76">
        <f t="shared" si="4"/>
        <v>43</v>
      </c>
      <c r="AU28" s="76">
        <v>85992</v>
      </c>
      <c r="AV28" s="227">
        <f t="shared" si="10"/>
        <v>0</v>
      </c>
      <c r="AW28" s="76">
        <v>115817</v>
      </c>
      <c r="AX28" s="227">
        <f t="shared" si="7"/>
        <v>0</v>
      </c>
      <c r="AY28" s="49">
        <f t="shared" si="1"/>
        <v>0</v>
      </c>
      <c r="AZ28" s="17">
        <v>2</v>
      </c>
      <c r="BB28" s="74"/>
    </row>
    <row r="29" spans="2:56" x14ac:dyDescent="0.25">
      <c r="B29" s="8">
        <f t="shared" si="8"/>
        <v>44888</v>
      </c>
      <c r="C29" s="42" t="str">
        <f t="shared" si="2"/>
        <v>Wed</v>
      </c>
      <c r="D29" s="289">
        <v>0.68709182999999996</v>
      </c>
      <c r="E29" s="289">
        <v>0.53220382999999993</v>
      </c>
      <c r="F29" s="289">
        <v>0.48863506000000001</v>
      </c>
      <c r="G29" s="345">
        <v>14261.221512</v>
      </c>
      <c r="H29" s="278">
        <v>0.55700000000000005</v>
      </c>
      <c r="I29" s="95"/>
      <c r="J29" s="344">
        <v>0</v>
      </c>
      <c r="K29" s="351">
        <v>3411070</v>
      </c>
      <c r="L29" s="348">
        <v>15518</v>
      </c>
      <c r="M29" s="26"/>
      <c r="N29" s="26"/>
      <c r="O29" s="22"/>
      <c r="P29" s="22">
        <v>85992</v>
      </c>
      <c r="Q29" s="21">
        <v>0</v>
      </c>
      <c r="R29" s="22">
        <v>115811</v>
      </c>
      <c r="S29" s="21">
        <v>0</v>
      </c>
      <c r="T29" s="109">
        <v>0</v>
      </c>
      <c r="U29" s="109">
        <v>0</v>
      </c>
      <c r="V29" s="107">
        <f t="shared" si="13"/>
        <v>0</v>
      </c>
      <c r="W29" s="109">
        <v>0</v>
      </c>
      <c r="X29" s="103">
        <v>15930</v>
      </c>
      <c r="Y29" s="49">
        <f t="shared" si="5"/>
        <v>15930</v>
      </c>
      <c r="Z29" s="44">
        <v>0</v>
      </c>
      <c r="AA29" s="44">
        <v>0</v>
      </c>
      <c r="AB29" s="259">
        <v>0</v>
      </c>
      <c r="AC29" s="106">
        <v>24.2199999999998</v>
      </c>
      <c r="AD29" s="106"/>
      <c r="AE29" s="106"/>
      <c r="AF29" s="106"/>
      <c r="AG29" s="244"/>
      <c r="AH29" s="244"/>
      <c r="AI29" s="244"/>
      <c r="AJ29" s="242">
        <f t="shared" si="3"/>
        <v>0</v>
      </c>
      <c r="AK29" s="243">
        <f t="shared" si="11"/>
        <v>0</v>
      </c>
      <c r="AL29" s="92"/>
      <c r="AM29" s="136">
        <v>229.35</v>
      </c>
      <c r="AN29" s="7">
        <f t="shared" si="6"/>
        <v>5490.5</v>
      </c>
      <c r="AO29" s="84">
        <v>552163</v>
      </c>
      <c r="AP29" s="76">
        <f t="shared" si="9"/>
        <v>3816</v>
      </c>
      <c r="AQ29" s="84">
        <v>75688</v>
      </c>
      <c r="AR29" s="76">
        <f t="shared" si="12"/>
        <v>292</v>
      </c>
      <c r="AS29" s="84">
        <v>10945</v>
      </c>
      <c r="AT29" s="76">
        <f t="shared" si="4"/>
        <v>42</v>
      </c>
      <c r="AU29" s="76">
        <v>85992</v>
      </c>
      <c r="AV29" s="227">
        <f t="shared" si="10"/>
        <v>0</v>
      </c>
      <c r="AW29" s="76">
        <v>115817</v>
      </c>
      <c r="AX29" s="227">
        <f t="shared" si="7"/>
        <v>0</v>
      </c>
      <c r="AY29" s="49">
        <f t="shared" si="1"/>
        <v>0</v>
      </c>
      <c r="AZ29" s="17">
        <v>2</v>
      </c>
      <c r="BB29" s="74"/>
    </row>
    <row r="30" spans="2:56" x14ac:dyDescent="0.25">
      <c r="B30" s="8">
        <f t="shared" si="8"/>
        <v>44889</v>
      </c>
      <c r="C30" s="42" t="str">
        <f t="shared" si="2"/>
        <v>Thu</v>
      </c>
      <c r="D30" s="289">
        <v>0.63828735000000003</v>
      </c>
      <c r="E30" s="289">
        <v>0.63314682</v>
      </c>
      <c r="F30" s="289">
        <v>0.78517685000000004</v>
      </c>
      <c r="G30" s="345">
        <v>17172.702017000003</v>
      </c>
      <c r="H30" s="278">
        <v>0.55500000000000005</v>
      </c>
      <c r="I30" s="95"/>
      <c r="J30" s="344">
        <v>0</v>
      </c>
      <c r="K30" s="353">
        <v>3427534</v>
      </c>
      <c r="L30" s="348">
        <v>16464</v>
      </c>
      <c r="M30" s="26"/>
      <c r="N30" s="26"/>
      <c r="O30" s="22"/>
      <c r="P30" s="22">
        <v>85992</v>
      </c>
      <c r="Q30" s="21">
        <v>0</v>
      </c>
      <c r="R30" s="22">
        <v>115811</v>
      </c>
      <c r="S30" s="21">
        <v>0</v>
      </c>
      <c r="T30" s="109">
        <v>0</v>
      </c>
      <c r="U30" s="109">
        <v>0</v>
      </c>
      <c r="V30" s="107">
        <f t="shared" si="13"/>
        <v>0</v>
      </c>
      <c r="W30" s="109">
        <v>0</v>
      </c>
      <c r="X30" s="103">
        <v>16464</v>
      </c>
      <c r="Y30" s="49">
        <f t="shared" si="5"/>
        <v>16464</v>
      </c>
      <c r="Z30" s="44">
        <v>0</v>
      </c>
      <c r="AA30" s="44">
        <v>0</v>
      </c>
      <c r="AB30" s="259">
        <v>0</v>
      </c>
      <c r="AC30" s="106">
        <v>24</v>
      </c>
      <c r="AD30" s="106"/>
      <c r="AE30" s="106"/>
      <c r="AF30" s="106"/>
      <c r="AG30" s="244"/>
      <c r="AH30" s="244"/>
      <c r="AI30" s="244"/>
      <c r="AJ30" s="242">
        <f t="shared" si="3"/>
        <v>0</v>
      </c>
      <c r="AK30" s="243">
        <f t="shared" si="11"/>
        <v>0</v>
      </c>
      <c r="AL30" s="92"/>
      <c r="AM30" s="7">
        <v>161.88999999999999</v>
      </c>
      <c r="AN30" s="7">
        <f t="shared" si="6"/>
        <v>5652.39</v>
      </c>
      <c r="AO30" s="84">
        <v>555302</v>
      </c>
      <c r="AP30" s="76">
        <f t="shared" si="9"/>
        <v>3139</v>
      </c>
      <c r="AQ30" s="84">
        <v>75990</v>
      </c>
      <c r="AR30" s="76">
        <f t="shared" si="12"/>
        <v>302</v>
      </c>
      <c r="AS30" s="84">
        <v>10986</v>
      </c>
      <c r="AT30" s="76">
        <f t="shared" si="4"/>
        <v>41</v>
      </c>
      <c r="AU30" s="76">
        <v>85992</v>
      </c>
      <c r="AV30" s="227">
        <f t="shared" si="10"/>
        <v>0</v>
      </c>
      <c r="AW30" s="76">
        <v>115817</v>
      </c>
      <c r="AX30" s="227">
        <f t="shared" si="7"/>
        <v>0</v>
      </c>
      <c r="AY30" s="49">
        <f t="shared" si="1"/>
        <v>0</v>
      </c>
      <c r="AZ30" s="17">
        <v>2</v>
      </c>
    </row>
    <row r="31" spans="2:56" x14ac:dyDescent="0.25">
      <c r="B31" s="8">
        <f t="shared" si="8"/>
        <v>44890</v>
      </c>
      <c r="C31" s="42" t="str">
        <f t="shared" si="2"/>
        <v>Fri</v>
      </c>
      <c r="D31" s="289">
        <v>0.75843399</v>
      </c>
      <c r="E31" s="289">
        <v>0.70329620000000004</v>
      </c>
      <c r="F31" s="289">
        <v>0.66997069999999992</v>
      </c>
      <c r="G31" s="345">
        <v>17799.702431500002</v>
      </c>
      <c r="H31" s="279">
        <v>0.55400000000000005</v>
      </c>
      <c r="I31" s="95"/>
      <c r="J31" s="344">
        <v>0</v>
      </c>
      <c r="K31" s="353">
        <v>3444944</v>
      </c>
      <c r="L31" s="348">
        <v>17410</v>
      </c>
      <c r="M31" s="26"/>
      <c r="N31" s="26"/>
      <c r="O31" s="22"/>
      <c r="P31" s="22">
        <v>85992</v>
      </c>
      <c r="Q31" s="21">
        <v>0</v>
      </c>
      <c r="R31" s="22">
        <v>115811</v>
      </c>
      <c r="S31" s="21">
        <v>0</v>
      </c>
      <c r="T31" s="109">
        <v>0</v>
      </c>
      <c r="U31" s="109">
        <v>0</v>
      </c>
      <c r="V31" s="107">
        <f t="shared" si="13"/>
        <v>0</v>
      </c>
      <c r="W31" s="109">
        <v>0</v>
      </c>
      <c r="X31" s="103">
        <v>17410</v>
      </c>
      <c r="Y31" s="49">
        <f t="shared" si="5"/>
        <v>17410</v>
      </c>
      <c r="Z31" s="44">
        <v>0</v>
      </c>
      <c r="AA31" s="44">
        <v>0</v>
      </c>
      <c r="AB31" s="259">
        <v>0</v>
      </c>
      <c r="AC31" s="106">
        <v>24.090000000000146</v>
      </c>
      <c r="AD31" s="106"/>
      <c r="AE31" s="106"/>
      <c r="AF31" s="106"/>
      <c r="AG31" s="247"/>
      <c r="AH31" s="247"/>
      <c r="AI31" s="247"/>
      <c r="AJ31" s="242">
        <f t="shared" si="3"/>
        <v>0</v>
      </c>
      <c r="AK31" s="243">
        <f t="shared" si="11"/>
        <v>0</v>
      </c>
      <c r="AL31" s="92"/>
      <c r="AM31" s="7">
        <v>173.92</v>
      </c>
      <c r="AN31" s="7">
        <f t="shared" si="6"/>
        <v>5826.31</v>
      </c>
      <c r="AO31" s="84">
        <v>558742</v>
      </c>
      <c r="AP31" s="76">
        <f t="shared" si="9"/>
        <v>3440</v>
      </c>
      <c r="AQ31" s="84">
        <v>76304</v>
      </c>
      <c r="AR31" s="76">
        <f t="shared" si="12"/>
        <v>314</v>
      </c>
      <c r="AS31" s="84">
        <v>11033</v>
      </c>
      <c r="AT31" s="76">
        <f t="shared" si="4"/>
        <v>47</v>
      </c>
      <c r="AU31" s="76">
        <v>85992</v>
      </c>
      <c r="AV31" s="227">
        <f t="shared" si="10"/>
        <v>0</v>
      </c>
      <c r="AW31" s="76">
        <v>115817</v>
      </c>
      <c r="AX31" s="227">
        <f t="shared" si="7"/>
        <v>0</v>
      </c>
      <c r="AY31" s="49">
        <f t="shared" si="1"/>
        <v>0</v>
      </c>
      <c r="AZ31" s="17">
        <v>2</v>
      </c>
    </row>
    <row r="32" spans="2:56" x14ac:dyDescent="0.25">
      <c r="B32" s="8">
        <f t="shared" si="8"/>
        <v>44891</v>
      </c>
      <c r="C32" s="42" t="str">
        <f t="shared" si="2"/>
        <v>Sat</v>
      </c>
      <c r="D32" s="289">
        <v>0.29664588999999997</v>
      </c>
      <c r="E32" s="289">
        <v>0.26987663000000001</v>
      </c>
      <c r="F32" s="289">
        <v>0.30801677999999999</v>
      </c>
      <c r="G32" s="345">
        <v>7302.403155</v>
      </c>
      <c r="H32" s="279">
        <v>0.55500000000000005</v>
      </c>
      <c r="I32" s="95"/>
      <c r="J32" s="344">
        <v>0</v>
      </c>
      <c r="K32" s="354">
        <v>3469286</v>
      </c>
      <c r="L32" s="348">
        <v>24342</v>
      </c>
      <c r="M32" s="26"/>
      <c r="N32" s="26"/>
      <c r="O32" s="22"/>
      <c r="P32" s="22">
        <v>85992</v>
      </c>
      <c r="Q32" s="21">
        <v>0</v>
      </c>
      <c r="R32" s="22">
        <v>115811</v>
      </c>
      <c r="S32" s="21">
        <v>0</v>
      </c>
      <c r="T32" s="109">
        <v>0</v>
      </c>
      <c r="U32" s="109">
        <v>0</v>
      </c>
      <c r="V32" s="107">
        <f t="shared" si="13"/>
        <v>0</v>
      </c>
      <c r="W32" s="109">
        <v>0</v>
      </c>
      <c r="X32" s="103">
        <v>24342</v>
      </c>
      <c r="Y32" s="49">
        <f t="shared" si="5"/>
        <v>24342</v>
      </c>
      <c r="Z32" s="44">
        <v>0</v>
      </c>
      <c r="AA32" s="44">
        <v>0</v>
      </c>
      <c r="AB32" s="259">
        <v>0</v>
      </c>
      <c r="AC32" s="106">
        <v>23.309999999999945</v>
      </c>
      <c r="AD32" s="106"/>
      <c r="AE32" s="106"/>
      <c r="AF32" s="106"/>
      <c r="AG32" s="247"/>
      <c r="AH32" s="247"/>
      <c r="AI32" s="247"/>
      <c r="AJ32" s="242">
        <f t="shared" si="3"/>
        <v>0</v>
      </c>
      <c r="AK32" s="243">
        <f t="shared" si="11"/>
        <v>0</v>
      </c>
      <c r="AL32" s="92"/>
      <c r="AM32" s="7">
        <v>174.49</v>
      </c>
      <c r="AN32" s="7">
        <f t="shared" si="6"/>
        <v>6000.8</v>
      </c>
      <c r="AO32" s="84">
        <v>561900</v>
      </c>
      <c r="AP32" s="76">
        <f t="shared" si="9"/>
        <v>3158</v>
      </c>
      <c r="AQ32" s="84">
        <v>76580</v>
      </c>
      <c r="AR32" s="76">
        <f t="shared" si="12"/>
        <v>276</v>
      </c>
      <c r="AS32" s="84">
        <v>11083</v>
      </c>
      <c r="AT32" s="76">
        <f t="shared" si="4"/>
        <v>50</v>
      </c>
      <c r="AU32" s="76">
        <v>85992</v>
      </c>
      <c r="AV32" s="227">
        <f t="shared" si="10"/>
        <v>0</v>
      </c>
      <c r="AW32" s="76">
        <v>115817</v>
      </c>
      <c r="AX32" s="227">
        <f t="shared" si="7"/>
        <v>0</v>
      </c>
      <c r="AY32" s="49">
        <f t="shared" si="1"/>
        <v>0</v>
      </c>
      <c r="AZ32" s="17" t="s">
        <v>86</v>
      </c>
    </row>
    <row r="33" spans="2:52" x14ac:dyDescent="0.25">
      <c r="B33" s="8">
        <f t="shared" si="8"/>
        <v>44892</v>
      </c>
      <c r="C33" s="42" t="str">
        <f t="shared" si="2"/>
        <v>Sun</v>
      </c>
      <c r="D33" s="289">
        <v>0.8497706599999999</v>
      </c>
      <c r="E33" s="289">
        <v>0.67824898</v>
      </c>
      <c r="F33" s="289">
        <v>0.44524653999999997</v>
      </c>
      <c r="G33" s="345">
        <v>16476.772602999998</v>
      </c>
      <c r="H33" s="279">
        <v>0.55800000000000005</v>
      </c>
      <c r="I33" s="95"/>
      <c r="J33" s="344">
        <v>0</v>
      </c>
      <c r="K33" s="354">
        <v>3478647</v>
      </c>
      <c r="L33" s="348">
        <v>9361</v>
      </c>
      <c r="M33" s="26"/>
      <c r="N33" s="26"/>
      <c r="O33" s="22"/>
      <c r="P33" s="22">
        <v>85992</v>
      </c>
      <c r="Q33" s="21">
        <v>0</v>
      </c>
      <c r="R33" s="22">
        <v>115811</v>
      </c>
      <c r="S33" s="21">
        <v>0</v>
      </c>
      <c r="T33" s="109">
        <v>208</v>
      </c>
      <c r="U33" s="109">
        <v>0</v>
      </c>
      <c r="V33" s="107">
        <f t="shared" si="13"/>
        <v>208</v>
      </c>
      <c r="W33" s="109">
        <v>0</v>
      </c>
      <c r="X33" s="103">
        <v>7788</v>
      </c>
      <c r="Y33" s="49">
        <f t="shared" si="5"/>
        <v>7788</v>
      </c>
      <c r="Z33" s="44">
        <v>0</v>
      </c>
      <c r="AA33" s="44">
        <v>0</v>
      </c>
      <c r="AB33" s="259">
        <v>0</v>
      </c>
      <c r="AC33" s="106">
        <v>8.1199999999998909</v>
      </c>
      <c r="AD33" s="106"/>
      <c r="AE33" s="106"/>
      <c r="AF33" s="106"/>
      <c r="AG33" s="247"/>
      <c r="AH33" s="247"/>
      <c r="AI33" s="247"/>
      <c r="AJ33" s="242">
        <f t="shared" si="3"/>
        <v>0</v>
      </c>
      <c r="AK33" s="243">
        <f t="shared" si="11"/>
        <v>0</v>
      </c>
      <c r="AL33" s="92"/>
      <c r="AM33" s="7">
        <v>0</v>
      </c>
      <c r="AN33" s="7">
        <f t="shared" si="6"/>
        <v>6000.8</v>
      </c>
      <c r="AO33" s="84">
        <v>565089</v>
      </c>
      <c r="AP33" s="76">
        <f t="shared" si="9"/>
        <v>3189</v>
      </c>
      <c r="AQ33" s="84">
        <v>76861</v>
      </c>
      <c r="AR33" s="76">
        <f t="shared" si="12"/>
        <v>281</v>
      </c>
      <c r="AS33" s="84">
        <v>11098</v>
      </c>
      <c r="AT33" s="76">
        <f t="shared" si="4"/>
        <v>15</v>
      </c>
      <c r="AU33" s="76">
        <v>85992</v>
      </c>
      <c r="AV33" s="227">
        <f t="shared" si="10"/>
        <v>0</v>
      </c>
      <c r="AW33" s="76">
        <v>115817</v>
      </c>
      <c r="AX33" s="227">
        <f t="shared" si="7"/>
        <v>0</v>
      </c>
      <c r="AY33" s="49">
        <f t="shared" si="1"/>
        <v>0</v>
      </c>
      <c r="AZ33" s="17" t="s">
        <v>54</v>
      </c>
    </row>
    <row r="34" spans="2:52" ht="15" x14ac:dyDescent="0.25">
      <c r="B34" s="8">
        <f t="shared" si="8"/>
        <v>44893</v>
      </c>
      <c r="C34" s="42" t="str">
        <f t="shared" si="2"/>
        <v>Mon</v>
      </c>
      <c r="D34" s="289">
        <v>0.84176117000000006</v>
      </c>
      <c r="E34" s="289">
        <v>0.64463683999999999</v>
      </c>
      <c r="F34" s="289">
        <v>0.44525866999999997</v>
      </c>
      <c r="G34" s="345">
        <v>16129.333278000002</v>
      </c>
      <c r="H34" s="279">
        <v>0.56000000000000005</v>
      </c>
      <c r="I34" s="95"/>
      <c r="J34" s="344">
        <v>0</v>
      </c>
      <c r="K34" s="355">
        <v>3492875</v>
      </c>
      <c r="L34" s="348">
        <v>14228</v>
      </c>
      <c r="M34" s="26"/>
      <c r="N34" s="26"/>
      <c r="O34" s="22"/>
      <c r="P34" s="22">
        <v>85992</v>
      </c>
      <c r="Q34" s="21">
        <v>0</v>
      </c>
      <c r="R34" s="22">
        <v>115811</v>
      </c>
      <c r="S34" s="21">
        <v>0</v>
      </c>
      <c r="T34" s="109">
        <v>0</v>
      </c>
      <c r="U34" s="109">
        <v>0</v>
      </c>
      <c r="V34" s="107">
        <f t="shared" si="13"/>
        <v>0</v>
      </c>
      <c r="W34" s="109">
        <v>0</v>
      </c>
      <c r="X34" s="103">
        <v>14982</v>
      </c>
      <c r="Y34" s="49">
        <f t="shared" si="5"/>
        <v>14982</v>
      </c>
      <c r="Z34" s="44">
        <v>0</v>
      </c>
      <c r="AA34" s="44">
        <v>0</v>
      </c>
      <c r="AB34" s="259">
        <v>0</v>
      </c>
      <c r="AC34" s="106">
        <v>24.019999999999982</v>
      </c>
      <c r="AD34" s="106"/>
      <c r="AE34" s="106"/>
      <c r="AF34" s="106"/>
      <c r="AG34" s="248"/>
      <c r="AH34" s="248"/>
      <c r="AI34" s="248"/>
      <c r="AJ34" s="242">
        <f t="shared" si="3"/>
        <v>0</v>
      </c>
      <c r="AK34" s="243">
        <f t="shared" si="11"/>
        <v>0</v>
      </c>
      <c r="AL34" s="92"/>
      <c r="AM34" s="7">
        <v>117.1</v>
      </c>
      <c r="AN34" s="7">
        <f t="shared" si="6"/>
        <v>6117.9000000000005</v>
      </c>
      <c r="AO34" s="84">
        <v>568112</v>
      </c>
      <c r="AP34" s="76">
        <f t="shared" si="9"/>
        <v>3023</v>
      </c>
      <c r="AQ34" s="84">
        <v>77124</v>
      </c>
      <c r="AR34" s="76">
        <f t="shared" si="12"/>
        <v>263</v>
      </c>
      <c r="AS34" s="84">
        <v>11150</v>
      </c>
      <c r="AT34" s="76">
        <f t="shared" si="4"/>
        <v>52</v>
      </c>
      <c r="AU34" s="76">
        <v>85992</v>
      </c>
      <c r="AV34" s="227">
        <f t="shared" si="10"/>
        <v>0</v>
      </c>
      <c r="AW34" s="76">
        <v>115817</v>
      </c>
      <c r="AX34" s="227">
        <f t="shared" si="7"/>
        <v>0</v>
      </c>
      <c r="AY34" s="49">
        <f t="shared" si="1"/>
        <v>0</v>
      </c>
      <c r="AZ34" s="17" t="s">
        <v>84</v>
      </c>
    </row>
    <row r="35" spans="2:52" ht="15" x14ac:dyDescent="0.25">
      <c r="B35" s="8">
        <f t="shared" si="8"/>
        <v>44894</v>
      </c>
      <c r="C35" s="42" t="str">
        <f t="shared" si="2"/>
        <v>Tue</v>
      </c>
      <c r="D35" s="289">
        <v>0.55633347</v>
      </c>
      <c r="E35" s="289">
        <v>0.43110862999999999</v>
      </c>
      <c r="F35" s="289">
        <v>0.60838809999999999</v>
      </c>
      <c r="G35" s="345">
        <v>13325.18217</v>
      </c>
      <c r="H35" s="279">
        <v>0.56000000000000005</v>
      </c>
      <c r="I35" s="95"/>
      <c r="J35" s="344">
        <v>0</v>
      </c>
      <c r="K35" s="355">
        <v>3509300</v>
      </c>
      <c r="L35" s="348">
        <v>16425</v>
      </c>
      <c r="M35" s="26"/>
      <c r="N35" s="26"/>
      <c r="O35" s="22"/>
      <c r="P35" s="22">
        <v>85992</v>
      </c>
      <c r="Q35" s="21">
        <v>0</v>
      </c>
      <c r="R35" s="22">
        <v>115811</v>
      </c>
      <c r="S35" s="21">
        <v>0</v>
      </c>
      <c r="T35" s="109">
        <v>0</v>
      </c>
      <c r="U35" s="109">
        <v>0</v>
      </c>
      <c r="V35" s="108">
        <f t="shared" si="13"/>
        <v>0</v>
      </c>
      <c r="W35" s="109">
        <v>0</v>
      </c>
      <c r="X35" s="77">
        <v>16218</v>
      </c>
      <c r="Y35" s="49">
        <f t="shared" si="5"/>
        <v>16218</v>
      </c>
      <c r="Z35" s="44">
        <v>0</v>
      </c>
      <c r="AA35" s="44">
        <v>0</v>
      </c>
      <c r="AB35" s="259">
        <v>0</v>
      </c>
      <c r="AC35" s="106">
        <v>24.450000000000273</v>
      </c>
      <c r="AD35" s="106"/>
      <c r="AE35" s="106"/>
      <c r="AF35" s="106"/>
      <c r="AG35" s="248"/>
      <c r="AH35" s="248"/>
      <c r="AI35" s="248"/>
      <c r="AJ35" s="242">
        <f t="shared" si="3"/>
        <v>0</v>
      </c>
      <c r="AK35" s="243">
        <f t="shared" si="11"/>
        <v>0</v>
      </c>
      <c r="AL35" s="92"/>
      <c r="AM35" s="7">
        <v>273.95999999999998</v>
      </c>
      <c r="AN35" s="7">
        <f t="shared" si="6"/>
        <v>6391.8600000000006</v>
      </c>
      <c r="AO35" s="84">
        <v>571100</v>
      </c>
      <c r="AP35" s="76">
        <f t="shared" si="9"/>
        <v>2988</v>
      </c>
      <c r="AQ35" s="84">
        <v>77350</v>
      </c>
      <c r="AR35" s="76">
        <f t="shared" si="12"/>
        <v>226</v>
      </c>
      <c r="AS35" s="84">
        <v>11183</v>
      </c>
      <c r="AT35" s="76">
        <f t="shared" si="4"/>
        <v>33</v>
      </c>
      <c r="AU35" s="76">
        <v>85992</v>
      </c>
      <c r="AV35" s="227">
        <f t="shared" si="10"/>
        <v>0</v>
      </c>
      <c r="AW35" s="76">
        <v>115817</v>
      </c>
      <c r="AX35" s="227">
        <f t="shared" si="7"/>
        <v>0</v>
      </c>
      <c r="AY35" s="49">
        <f t="shared" si="1"/>
        <v>0</v>
      </c>
      <c r="AZ35" s="17">
        <v>2</v>
      </c>
    </row>
    <row r="36" spans="2:52" x14ac:dyDescent="0.25">
      <c r="B36" s="8">
        <f t="shared" si="8"/>
        <v>44895</v>
      </c>
      <c r="C36" s="42" t="str">
        <f t="shared" si="2"/>
        <v>Wed</v>
      </c>
      <c r="D36" s="289">
        <v>0.95255675999999989</v>
      </c>
      <c r="E36" s="289">
        <v>0.76053825000000008</v>
      </c>
      <c r="F36" s="289">
        <v>0.70691665999999997</v>
      </c>
      <c r="G36" s="345">
        <v>20207.097444500003</v>
      </c>
      <c r="H36" s="279">
        <v>0.55700000000000005</v>
      </c>
      <c r="I36" s="95"/>
      <c r="J36" s="344">
        <v>0</v>
      </c>
      <c r="K36" s="355">
        <v>3518152</v>
      </c>
      <c r="L36" s="348">
        <v>8852</v>
      </c>
      <c r="M36" s="26"/>
      <c r="N36" s="26"/>
      <c r="O36" s="22"/>
      <c r="P36" s="22">
        <v>85992</v>
      </c>
      <c r="Q36" s="21">
        <v>0</v>
      </c>
      <c r="R36" s="22">
        <v>115811</v>
      </c>
      <c r="S36" s="21">
        <v>0</v>
      </c>
      <c r="T36" s="109">
        <v>0</v>
      </c>
      <c r="U36" s="109">
        <v>0</v>
      </c>
      <c r="V36" s="108">
        <f t="shared" si="13"/>
        <v>0</v>
      </c>
      <c r="W36" s="109">
        <v>0</v>
      </c>
      <c r="X36" s="77">
        <v>8586</v>
      </c>
      <c r="Y36" s="49">
        <f t="shared" si="5"/>
        <v>8586</v>
      </c>
      <c r="Z36" s="44">
        <v>0</v>
      </c>
      <c r="AA36" s="44">
        <v>0</v>
      </c>
      <c r="AB36" s="259">
        <v>0</v>
      </c>
      <c r="AC36" s="106">
        <v>9.1499999999996362</v>
      </c>
      <c r="AD36" s="106"/>
      <c r="AE36" s="106"/>
      <c r="AF36" s="106"/>
      <c r="AG36" s="247"/>
      <c r="AH36" s="247"/>
      <c r="AI36" s="247"/>
      <c r="AJ36" s="242">
        <f t="shared" si="3"/>
        <v>0</v>
      </c>
      <c r="AK36" s="243">
        <f t="shared" si="11"/>
        <v>0</v>
      </c>
      <c r="AL36" s="92"/>
      <c r="AM36" s="7"/>
      <c r="AN36" s="7">
        <f t="shared" si="6"/>
        <v>6391.8600000000006</v>
      </c>
      <c r="AO36" s="84">
        <v>574001</v>
      </c>
      <c r="AP36" s="76">
        <f t="shared" si="9"/>
        <v>2901</v>
      </c>
      <c r="AQ36" s="84">
        <v>77584</v>
      </c>
      <c r="AR36" s="76">
        <f t="shared" si="12"/>
        <v>234</v>
      </c>
      <c r="AS36" s="84">
        <v>11219</v>
      </c>
      <c r="AT36" s="76">
        <f t="shared" si="4"/>
        <v>36</v>
      </c>
      <c r="AU36" s="76">
        <v>85992</v>
      </c>
      <c r="AV36" s="227">
        <f t="shared" si="10"/>
        <v>0</v>
      </c>
      <c r="AW36" s="76">
        <v>115817</v>
      </c>
      <c r="AX36" s="227">
        <f t="shared" si="7"/>
        <v>0</v>
      </c>
      <c r="AY36" s="49">
        <f t="shared" si="1"/>
        <v>0</v>
      </c>
      <c r="AZ36" s="17">
        <v>2</v>
      </c>
    </row>
    <row r="37" spans="2:52" x14ac:dyDescent="0.25">
      <c r="B37" s="8"/>
      <c r="C37" s="42"/>
      <c r="D37" s="297"/>
      <c r="E37" s="297"/>
      <c r="F37" s="298"/>
      <c r="G37" s="143"/>
      <c r="H37" s="342"/>
      <c r="I37" s="95"/>
      <c r="J37" s="22"/>
      <c r="K37" s="343"/>
      <c r="L37" s="346"/>
      <c r="M37" s="26"/>
      <c r="N37" s="26"/>
      <c r="O37" s="22"/>
      <c r="P37" s="22"/>
      <c r="Q37" s="21"/>
      <c r="R37" s="22"/>
      <c r="S37" s="21"/>
      <c r="T37" s="109"/>
      <c r="U37" s="109"/>
      <c r="V37" s="108"/>
      <c r="W37" s="109"/>
      <c r="X37" s="77"/>
      <c r="Y37" s="49"/>
      <c r="Z37" s="44"/>
      <c r="AA37" s="44"/>
      <c r="AB37" s="259"/>
      <c r="AC37" s="106"/>
      <c r="AD37" s="106"/>
      <c r="AE37" s="106"/>
      <c r="AF37" s="106"/>
      <c r="AG37" s="247"/>
      <c r="AH37" s="247"/>
      <c r="AI37" s="247"/>
      <c r="AJ37" s="247"/>
      <c r="AK37" s="243"/>
      <c r="AL37" s="92"/>
      <c r="AM37" s="7"/>
      <c r="AN37" s="7"/>
      <c r="AO37" s="98"/>
      <c r="AP37" s="90"/>
      <c r="AQ37" s="98"/>
      <c r="AR37" s="90"/>
      <c r="AS37" s="90"/>
      <c r="AT37" s="90"/>
      <c r="AU37" s="76"/>
      <c r="AV37" s="227"/>
      <c r="AW37" s="76"/>
      <c r="AX37" s="227"/>
      <c r="AY37" s="49"/>
      <c r="AZ37" s="17"/>
    </row>
    <row r="38" spans="2:52" x14ac:dyDescent="0.25">
      <c r="B38" s="14" t="s">
        <v>48</v>
      </c>
      <c r="C38" s="14"/>
      <c r="D38" s="69">
        <v>0.66675402900000014</v>
      </c>
      <c r="E38" s="69">
        <v>0.59115364300000006</v>
      </c>
      <c r="F38" s="69">
        <v>0.58072093833333338</v>
      </c>
      <c r="G38" s="339">
        <v>15352.548896283337</v>
      </c>
      <c r="H38" s="341">
        <v>0.55766666666666664</v>
      </c>
      <c r="I38" s="14"/>
      <c r="J38" s="65">
        <v>0</v>
      </c>
      <c r="K38" s="340">
        <v>3518152</v>
      </c>
      <c r="L38" s="340">
        <v>539425</v>
      </c>
      <c r="M38" s="67"/>
      <c r="N38" s="67"/>
      <c r="O38" s="65">
        <v>12561.999999999996</v>
      </c>
      <c r="P38" s="67"/>
      <c r="Q38" s="65">
        <v>0</v>
      </c>
      <c r="R38" s="67"/>
      <c r="S38" s="65">
        <v>0</v>
      </c>
      <c r="T38" s="65">
        <f t="shared" ref="T38:AM38" si="14">SUM(T7:T37)</f>
        <v>857</v>
      </c>
      <c r="U38" s="65">
        <f t="shared" si="14"/>
        <v>0</v>
      </c>
      <c r="V38" s="65">
        <f t="shared" si="14"/>
        <v>857</v>
      </c>
      <c r="W38" s="65"/>
      <c r="X38" s="65">
        <v>0</v>
      </c>
      <c r="Y38" s="65">
        <f>SUM(Y7:Y36)</f>
        <v>538133</v>
      </c>
      <c r="Z38" s="65">
        <f t="shared" si="14"/>
        <v>0</v>
      </c>
      <c r="AA38" s="65">
        <f t="shared" si="14"/>
        <v>0</v>
      </c>
      <c r="AB38" s="260">
        <f t="shared" si="14"/>
        <v>2.5299999999999976</v>
      </c>
      <c r="AC38" s="65">
        <f t="shared" si="14"/>
        <v>606.82999999999947</v>
      </c>
      <c r="AD38" s="65"/>
      <c r="AE38" s="65"/>
      <c r="AF38" s="65"/>
      <c r="AG38" s="99">
        <f>SUM(AG7:AG36)</f>
        <v>0</v>
      </c>
      <c r="AH38" s="99"/>
      <c r="AI38" s="99"/>
      <c r="AJ38" s="99">
        <f>SUM(AJ7:AJ37)</f>
        <v>0</v>
      </c>
      <c r="AK38" s="11"/>
      <c r="AL38" s="258" t="e">
        <f>AVERAGE(AL7:AL37)</f>
        <v>#DIV/0!</v>
      </c>
      <c r="AM38" s="65">
        <f t="shared" si="14"/>
        <v>6391.8600000000006</v>
      </c>
      <c r="AN38" s="68"/>
      <c r="AO38" s="66"/>
      <c r="AP38" s="65">
        <f>SUM(AP7:AP37)</f>
        <v>98841</v>
      </c>
      <c r="AQ38" s="99"/>
      <c r="AR38" s="65">
        <f>SUM(AR7:AR37)</f>
        <v>9324</v>
      </c>
      <c r="AS38" s="65"/>
      <c r="AT38" s="65">
        <f>SUM(AT7:AT37)</f>
        <v>1263</v>
      </c>
      <c r="AU38" s="67"/>
      <c r="AV38" s="65">
        <f>SUMIFS(AV7:AV36,AV7:AV36,"&gt;0")</f>
        <v>0</v>
      </c>
      <c r="AW38" s="67"/>
      <c r="AX38" s="65">
        <f>SUMIFS(AX7:AX37,AX7:AX37,"&gt;0")</f>
        <v>0</v>
      </c>
      <c r="AY38" s="65">
        <f>SUM(AY7:AY36)</f>
        <v>0</v>
      </c>
      <c r="AZ38" s="5"/>
    </row>
    <row r="39" spans="2:52" x14ac:dyDescent="0.25">
      <c r="J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236"/>
      <c r="AH39" s="236"/>
      <c r="AI39" s="236"/>
      <c r="AJ39" s="236"/>
      <c r="AK39" s="63"/>
      <c r="AM39" s="63"/>
      <c r="AN39" s="63"/>
      <c r="AR39" s="63"/>
      <c r="AS39" s="63"/>
      <c r="AT39" s="63"/>
      <c r="AX39" s="63"/>
      <c r="AY39" s="63"/>
    </row>
    <row r="40" spans="2:52" x14ac:dyDescent="0.25">
      <c r="G40" s="81"/>
      <c r="I40" s="88"/>
      <c r="J40" s="87"/>
      <c r="K40" s="88"/>
      <c r="L40" s="88"/>
      <c r="O40" s="89"/>
      <c r="P40" s="89"/>
      <c r="Q40" s="89"/>
      <c r="R40" s="89"/>
      <c r="S40" s="89"/>
      <c r="AG40" s="237"/>
      <c r="AH40" s="237"/>
      <c r="AI40" s="237"/>
      <c r="AJ40" s="237"/>
      <c r="AL40" s="85"/>
      <c r="AM40" s="74"/>
      <c r="AO40" s="85"/>
      <c r="AP40" s="85"/>
      <c r="AQ40" s="85"/>
      <c r="AR40" s="73"/>
      <c r="AS40" s="73"/>
      <c r="AT40" s="73"/>
      <c r="AU40" s="89"/>
      <c r="AV40" s="89"/>
      <c r="AX40" s="91"/>
      <c r="AY40" s="91"/>
    </row>
    <row r="41" spans="2:52" x14ac:dyDescent="0.25">
      <c r="C41" s="16"/>
      <c r="J41" s="80"/>
      <c r="K41" s="331" t="s">
        <v>97</v>
      </c>
      <c r="Q41" s="331" t="s">
        <v>88</v>
      </c>
      <c r="R41" s="332"/>
      <c r="AL41" s="86"/>
      <c r="AO41" s="86"/>
      <c r="AP41" s="86"/>
      <c r="AQ41" s="86"/>
      <c r="AR41" s="73"/>
      <c r="AS41" s="73"/>
      <c r="AT41" s="73"/>
      <c r="AW41" s="88"/>
    </row>
    <row r="42" spans="2:52" x14ac:dyDescent="0.25">
      <c r="K42" s="331" t="s">
        <v>74</v>
      </c>
      <c r="L42" s="347">
        <f>L38</f>
        <v>539425</v>
      </c>
      <c r="Q42" s="331" t="s">
        <v>74</v>
      </c>
      <c r="R42" s="333">
        <f>Q38+S38-S32</f>
        <v>0</v>
      </c>
      <c r="AR42" s="63"/>
      <c r="AS42" s="63"/>
      <c r="AT42" s="63"/>
      <c r="AV42" s="84">
        <v>-15</v>
      </c>
    </row>
    <row r="43" spans="2:52" x14ac:dyDescent="0.25">
      <c r="K43" s="331" t="s">
        <v>75</v>
      </c>
      <c r="L43" s="63">
        <f>Y38</f>
        <v>538133</v>
      </c>
      <c r="M43" s="1" t="s">
        <v>98</v>
      </c>
      <c r="Q43" s="331" t="s">
        <v>75</v>
      </c>
      <c r="R43" s="333">
        <f>BA38</f>
        <v>0</v>
      </c>
    </row>
    <row r="44" spans="2:52" x14ac:dyDescent="0.25">
      <c r="K44" s="331" t="s">
        <v>76</v>
      </c>
      <c r="L44" s="1">
        <f>ABS(L42-L43)</f>
        <v>1292</v>
      </c>
      <c r="M44" s="1" t="s">
        <v>99</v>
      </c>
      <c r="Q44" s="331" t="s">
        <v>76</v>
      </c>
      <c r="R44" s="331">
        <f>ABS(R42-R43)</f>
        <v>0</v>
      </c>
    </row>
    <row r="45" spans="2:52" x14ac:dyDescent="0.25">
      <c r="K45" s="331" t="s">
        <v>77</v>
      </c>
      <c r="L45" s="73">
        <v>539425</v>
      </c>
      <c r="Q45" s="331" t="s">
        <v>77</v>
      </c>
      <c r="R45" s="334"/>
    </row>
  </sheetData>
  <mergeCells count="28">
    <mergeCell ref="AD3:AL3"/>
    <mergeCell ref="AD4:AL4"/>
    <mergeCell ref="AO5:AP5"/>
    <mergeCell ref="B3:AC3"/>
    <mergeCell ref="AM3:AN3"/>
    <mergeCell ref="AO3:AT4"/>
    <mergeCell ref="W4:Y4"/>
    <mergeCell ref="Z4:AA4"/>
    <mergeCell ref="AQ5:AR5"/>
    <mergeCell ref="AS5:AT5"/>
    <mergeCell ref="AB4:AC4"/>
    <mergeCell ref="AD5:AK5"/>
    <mergeCell ref="AZ3:AZ6"/>
    <mergeCell ref="B4:B6"/>
    <mergeCell ref="C4:C6"/>
    <mergeCell ref="D4:G4"/>
    <mergeCell ref="I4:L4"/>
    <mergeCell ref="M4:O4"/>
    <mergeCell ref="AM4:AN4"/>
    <mergeCell ref="I5:J5"/>
    <mergeCell ref="K5:L5"/>
    <mergeCell ref="M5:N5"/>
    <mergeCell ref="AU5:AV5"/>
    <mergeCell ref="AW5:AX5"/>
    <mergeCell ref="AM5:AN5"/>
    <mergeCell ref="P4:Q5"/>
    <mergeCell ref="R4:S5"/>
    <mergeCell ref="T4:V4"/>
  </mergeCells>
  <pageMargins left="0" right="0" top="0.35433070866141736" bottom="0" header="0.31496062992125984" footer="0.31496062992125984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X47"/>
  <sheetViews>
    <sheetView showGridLines="0" zoomScale="80" zoomScaleNormal="80" zoomScaleSheetLayoutView="70" workbookViewId="0">
      <pane xSplit="3" ySplit="6" topLeftCell="D7" activePane="bottomRight" state="frozen"/>
      <selection pane="topRight" activeCell="B41" sqref="B41:E42"/>
      <selection pane="bottomLeft" activeCell="B41" sqref="B41:E42"/>
      <selection pane="bottomRight" activeCell="B41" sqref="B41:E42"/>
    </sheetView>
  </sheetViews>
  <sheetFormatPr defaultColWidth="9.109375" defaultRowHeight="13.8" x14ac:dyDescent="0.25"/>
  <cols>
    <col min="1" max="1" width="4.5546875" style="1" customWidth="1"/>
    <col min="2" max="2" width="22.5546875" style="2" customWidth="1"/>
    <col min="3" max="3" width="10.44140625" style="2" bestFit="1" customWidth="1"/>
    <col min="4" max="5" width="10.44140625" style="2" customWidth="1"/>
    <col min="6" max="6" width="10" style="2" customWidth="1"/>
    <col min="7" max="7" width="11" style="2" customWidth="1"/>
    <col min="8" max="8" width="11.44140625" style="2" customWidth="1"/>
    <col min="9" max="9" width="15.44140625" style="1" customWidth="1"/>
    <col min="10" max="10" width="13" style="1" customWidth="1"/>
    <col min="11" max="11" width="15.44140625" style="1" customWidth="1"/>
    <col min="12" max="12" width="15" style="1" bestFit="1" customWidth="1"/>
    <col min="13" max="13" width="10.88671875" style="1" bestFit="1" customWidth="1"/>
    <col min="14" max="14" width="10.88671875" style="1" customWidth="1"/>
    <col min="15" max="19" width="11.44140625" style="1" customWidth="1"/>
    <col min="20" max="20" width="12.44140625" style="3" customWidth="1"/>
    <col min="21" max="21" width="11.109375" style="3" customWidth="1"/>
    <col min="22" max="22" width="12.44140625" style="3" bestFit="1" customWidth="1"/>
    <col min="23" max="25" width="12.44140625" style="3" customWidth="1"/>
    <col min="26" max="26" width="11.5546875" style="3" customWidth="1"/>
    <col min="27" max="27" width="11.109375" style="3" customWidth="1"/>
    <col min="28" max="28" width="11" style="3" customWidth="1"/>
    <col min="29" max="29" width="11.44140625" style="3" customWidth="1"/>
    <col min="30" max="30" width="13.5546875" style="234" customWidth="1"/>
    <col min="31" max="31" width="13.5546875" style="1" customWidth="1"/>
    <col min="32" max="32" width="11.5546875" style="2" customWidth="1"/>
    <col min="33" max="34" width="12.88671875" style="1" customWidth="1"/>
    <col min="35" max="35" width="13.44140625" style="2" customWidth="1"/>
    <col min="36" max="36" width="12.88671875" style="2" customWidth="1"/>
    <col min="37" max="37" width="14.44140625" style="2" customWidth="1"/>
    <col min="38" max="40" width="12.88671875" style="1" customWidth="1"/>
    <col min="41" max="42" width="11.44140625" style="1" customWidth="1"/>
    <col min="43" max="43" width="11.5546875" style="1" customWidth="1"/>
    <col min="44" max="44" width="11.88671875" style="1" customWidth="1"/>
    <col min="45" max="45" width="14.109375" style="1" customWidth="1"/>
    <col min="46" max="46" width="38" style="1" bestFit="1" customWidth="1"/>
    <col min="47" max="47" width="9.109375" style="1"/>
    <col min="48" max="48" width="10.88671875" style="1" bestFit="1" customWidth="1"/>
    <col min="49" max="49" width="12.88671875" style="1" bestFit="1" customWidth="1"/>
    <col min="50" max="16384" width="9.109375" style="1"/>
  </cols>
  <sheetData>
    <row r="2" spans="1:50" x14ac:dyDescent="0.25">
      <c r="B2" s="4" t="s">
        <v>0</v>
      </c>
      <c r="AI2" s="2">
        <f>5*101/1000*1.26</f>
        <v>0.63629999999999998</v>
      </c>
      <c r="AJ2" s="2">
        <f>AI2*30</f>
        <v>19.088999999999999</v>
      </c>
    </row>
    <row r="3" spans="1:50" ht="31.5" customHeight="1" x14ac:dyDescent="0.25">
      <c r="B3" s="479" t="s">
        <v>1</v>
      </c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  <c r="AA3" s="480"/>
      <c r="AB3" s="480"/>
      <c r="AC3" s="481"/>
      <c r="AD3" s="490" t="s">
        <v>2</v>
      </c>
      <c r="AE3" s="491"/>
      <c r="AF3" s="492"/>
      <c r="AG3" s="485" t="s">
        <v>3</v>
      </c>
      <c r="AH3" s="486"/>
      <c r="AI3" s="465" t="s">
        <v>4</v>
      </c>
      <c r="AJ3" s="473"/>
      <c r="AK3" s="473"/>
      <c r="AL3" s="473"/>
      <c r="AM3" s="473"/>
      <c r="AN3" s="473"/>
      <c r="AO3" s="225"/>
      <c r="AP3" s="225"/>
      <c r="AQ3" s="225"/>
      <c r="AR3" s="225"/>
      <c r="AS3" s="225"/>
      <c r="AT3" s="457" t="s">
        <v>5</v>
      </c>
    </row>
    <row r="4" spans="1:50" ht="16.5" customHeight="1" x14ac:dyDescent="0.25">
      <c r="B4" s="460" t="s">
        <v>6</v>
      </c>
      <c r="C4" s="460" t="s">
        <v>7</v>
      </c>
      <c r="D4" s="461" t="s">
        <v>8</v>
      </c>
      <c r="E4" s="462"/>
      <c r="F4" s="462"/>
      <c r="G4" s="463"/>
      <c r="H4" s="54" t="s">
        <v>9</v>
      </c>
      <c r="I4" s="464"/>
      <c r="J4" s="464"/>
      <c r="K4" s="464"/>
      <c r="L4" s="464"/>
      <c r="M4" s="464" t="s">
        <v>11</v>
      </c>
      <c r="N4" s="464"/>
      <c r="O4" s="464"/>
      <c r="P4" s="465" t="s">
        <v>56</v>
      </c>
      <c r="Q4" s="466"/>
      <c r="R4" s="465" t="s">
        <v>57</v>
      </c>
      <c r="S4" s="466"/>
      <c r="T4" s="469" t="s">
        <v>13</v>
      </c>
      <c r="U4" s="470"/>
      <c r="V4" s="471"/>
      <c r="W4" s="482" t="s">
        <v>14</v>
      </c>
      <c r="X4" s="483"/>
      <c r="Y4" s="484"/>
      <c r="Z4" s="461" t="s">
        <v>15</v>
      </c>
      <c r="AA4" s="463"/>
      <c r="AB4" s="461" t="s">
        <v>16</v>
      </c>
      <c r="AC4" s="463"/>
      <c r="AD4" s="487" t="s">
        <v>17</v>
      </c>
      <c r="AE4" s="488"/>
      <c r="AF4" s="489"/>
      <c r="AG4" s="477" t="s">
        <v>17</v>
      </c>
      <c r="AH4" s="478"/>
      <c r="AI4" s="467"/>
      <c r="AJ4" s="474"/>
      <c r="AK4" s="474"/>
      <c r="AL4" s="474"/>
      <c r="AM4" s="474"/>
      <c r="AN4" s="474"/>
      <c r="AO4" s="228"/>
      <c r="AP4" s="228"/>
      <c r="AQ4" s="228"/>
      <c r="AR4" s="228"/>
      <c r="AS4" s="228"/>
      <c r="AT4" s="458"/>
    </row>
    <row r="5" spans="1:50" ht="52.5" customHeight="1" x14ac:dyDescent="0.25">
      <c r="B5" s="460"/>
      <c r="C5" s="460"/>
      <c r="D5" s="41" t="s">
        <v>18</v>
      </c>
      <c r="E5" s="41" t="s">
        <v>19</v>
      </c>
      <c r="F5" s="41" t="s">
        <v>20</v>
      </c>
      <c r="G5" s="41" t="s">
        <v>21</v>
      </c>
      <c r="H5" s="43" t="s">
        <v>22</v>
      </c>
      <c r="I5" s="477" t="s">
        <v>68</v>
      </c>
      <c r="J5" s="493"/>
      <c r="K5" s="472" t="s">
        <v>52</v>
      </c>
      <c r="L5" s="472"/>
      <c r="M5" s="460" t="s">
        <v>25</v>
      </c>
      <c r="N5" s="460"/>
      <c r="O5" s="43" t="s">
        <v>26</v>
      </c>
      <c r="P5" s="467"/>
      <c r="Q5" s="468"/>
      <c r="R5" s="467"/>
      <c r="S5" s="468"/>
      <c r="T5" s="82" t="s">
        <v>27</v>
      </c>
      <c r="U5" s="82" t="s">
        <v>24</v>
      </c>
      <c r="V5" s="82" t="s">
        <v>21</v>
      </c>
      <c r="W5" s="34" t="s">
        <v>27</v>
      </c>
      <c r="X5" s="34" t="s">
        <v>24</v>
      </c>
      <c r="Y5" s="36" t="s">
        <v>21</v>
      </c>
      <c r="Z5" s="82" t="s">
        <v>27</v>
      </c>
      <c r="AA5" s="82" t="s">
        <v>24</v>
      </c>
      <c r="AB5" s="82" t="s">
        <v>27</v>
      </c>
      <c r="AC5" s="82" t="s">
        <v>24</v>
      </c>
      <c r="AD5" s="472" t="s">
        <v>28</v>
      </c>
      <c r="AE5" s="472"/>
      <c r="AF5" s="45" t="s">
        <v>29</v>
      </c>
      <c r="AG5" s="477" t="s">
        <v>28</v>
      </c>
      <c r="AH5" s="493"/>
      <c r="AI5" s="475" t="s">
        <v>30</v>
      </c>
      <c r="AJ5" s="476"/>
      <c r="AK5" s="475" t="s">
        <v>31</v>
      </c>
      <c r="AL5" s="476"/>
      <c r="AM5" s="477" t="s">
        <v>32</v>
      </c>
      <c r="AN5" s="478"/>
      <c r="AO5" s="477" t="s">
        <v>56</v>
      </c>
      <c r="AP5" s="493"/>
      <c r="AQ5" s="477" t="s">
        <v>67</v>
      </c>
      <c r="AR5" s="493"/>
      <c r="AS5" s="226" t="s">
        <v>69</v>
      </c>
      <c r="AT5" s="458"/>
    </row>
    <row r="6" spans="1:50" ht="14.4" x14ac:dyDescent="0.3">
      <c r="B6" s="460"/>
      <c r="C6" s="460"/>
      <c r="D6" s="83">
        <v>8350</v>
      </c>
      <c r="E6" s="83">
        <v>8350</v>
      </c>
      <c r="F6" s="83">
        <v>8350</v>
      </c>
      <c r="G6" s="83">
        <f>D6+E6+F6</f>
        <v>25050</v>
      </c>
      <c r="H6" s="56" t="s">
        <v>33</v>
      </c>
      <c r="I6" s="124" t="s">
        <v>53</v>
      </c>
      <c r="J6" s="17" t="s">
        <v>34</v>
      </c>
      <c r="K6" s="124" t="s">
        <v>53</v>
      </c>
      <c r="L6" s="124"/>
      <c r="M6" s="40" t="s">
        <v>36</v>
      </c>
      <c r="N6" s="40" t="s">
        <v>37</v>
      </c>
      <c r="O6" s="41" t="s">
        <v>38</v>
      </c>
      <c r="P6" s="17" t="s">
        <v>34</v>
      </c>
      <c r="Q6" s="17" t="s">
        <v>35</v>
      </c>
      <c r="R6" s="17" t="s">
        <v>34</v>
      </c>
      <c r="S6" s="17" t="s">
        <v>35</v>
      </c>
      <c r="T6" s="82" t="s">
        <v>39</v>
      </c>
      <c r="U6" s="82" t="s">
        <v>39</v>
      </c>
      <c r="V6" s="82" t="s">
        <v>39</v>
      </c>
      <c r="W6" s="82"/>
      <c r="X6" s="82"/>
      <c r="Y6" s="82"/>
      <c r="Z6" s="41" t="s">
        <v>40</v>
      </c>
      <c r="AA6" s="41" t="s">
        <v>40</v>
      </c>
      <c r="AB6" s="41" t="s">
        <v>40</v>
      </c>
      <c r="AC6" s="41" t="s">
        <v>40</v>
      </c>
      <c r="AD6" s="235" t="s">
        <v>41</v>
      </c>
      <c r="AE6" s="78" t="s">
        <v>42</v>
      </c>
      <c r="AF6" s="9" t="s">
        <v>43</v>
      </c>
      <c r="AG6" s="17" t="s">
        <v>41</v>
      </c>
      <c r="AH6" s="78" t="s">
        <v>42</v>
      </c>
      <c r="AI6" s="9" t="s">
        <v>34</v>
      </c>
      <c r="AJ6" s="9" t="s">
        <v>44</v>
      </c>
      <c r="AK6" s="9" t="s">
        <v>34</v>
      </c>
      <c r="AL6" s="9" t="s">
        <v>44</v>
      </c>
      <c r="AM6" s="9" t="s">
        <v>34</v>
      </c>
      <c r="AN6" s="9" t="s">
        <v>44</v>
      </c>
      <c r="AO6" s="17" t="s">
        <v>34</v>
      </c>
      <c r="AP6" s="17" t="s">
        <v>35</v>
      </c>
      <c r="AQ6" s="17" t="s">
        <v>34</v>
      </c>
      <c r="AR6" s="17" t="s">
        <v>35</v>
      </c>
      <c r="AS6" s="17" t="s">
        <v>53</v>
      </c>
      <c r="AT6" s="459"/>
    </row>
    <row r="7" spans="1:50" x14ac:dyDescent="0.25">
      <c r="B7" s="8">
        <v>44896</v>
      </c>
      <c r="C7" s="42" t="str">
        <f>TEXT(B7,"ddd")</f>
        <v>Thu</v>
      </c>
      <c r="D7" s="289">
        <v>0.61115433000000008</v>
      </c>
      <c r="E7" s="289">
        <v>0.51005928</v>
      </c>
      <c r="F7" s="289">
        <v>0.6442617799999999</v>
      </c>
      <c r="G7" s="345">
        <f>SUMPRODUCT($D$6:$F$6,D7:F7)</f>
        <v>14741.719506500001</v>
      </c>
      <c r="H7" s="272">
        <v>0.55800000000000005</v>
      </c>
      <c r="I7" s="362">
        <v>0</v>
      </c>
      <c r="J7" s="22">
        <v>0</v>
      </c>
      <c r="K7" s="349">
        <v>3535239</v>
      </c>
      <c r="L7" s="270">
        <f>K7-'Nov2022'!K36</f>
        <v>17087</v>
      </c>
      <c r="M7" s="23"/>
      <c r="N7" s="23"/>
      <c r="O7" s="22"/>
      <c r="P7" s="22"/>
      <c r="Q7" s="305"/>
      <c r="R7" s="22"/>
      <c r="S7" s="21"/>
      <c r="T7" s="109">
        <v>0</v>
      </c>
      <c r="U7" s="109">
        <v>0</v>
      </c>
      <c r="V7" s="105">
        <f t="shared" ref="V7:V16" si="0">SUM(T7:U7)</f>
        <v>0</v>
      </c>
      <c r="W7" s="109">
        <v>0</v>
      </c>
      <c r="X7" s="109">
        <v>18379</v>
      </c>
      <c r="Y7" s="49">
        <f>SUM(W7:X7)</f>
        <v>18379</v>
      </c>
      <c r="Z7" s="44">
        <v>0</v>
      </c>
      <c r="AA7" s="44">
        <v>0</v>
      </c>
      <c r="AB7" s="44">
        <v>0</v>
      </c>
      <c r="AC7" s="106">
        <v>26.610000000000127</v>
      </c>
      <c r="AD7" s="242"/>
      <c r="AE7" s="243">
        <f>AD7</f>
        <v>0</v>
      </c>
      <c r="AF7" s="368">
        <f>AVERAGE(14.43,12.98,16.09)</f>
        <v>14.5</v>
      </c>
      <c r="AG7" s="7">
        <v>398.59</v>
      </c>
      <c r="AH7" s="7">
        <f>AG7</f>
        <v>398.59</v>
      </c>
      <c r="AI7" s="84">
        <v>575903</v>
      </c>
      <c r="AJ7" s="76">
        <f>AI7-'Nov2022'!AO36</f>
        <v>1902</v>
      </c>
      <c r="AK7" s="84">
        <v>77908</v>
      </c>
      <c r="AL7" s="76">
        <f>AK7-'Nov2022'!AQ36</f>
        <v>324</v>
      </c>
      <c r="AM7" s="76">
        <v>11258</v>
      </c>
      <c r="AN7" s="76">
        <f>AM7-'Nov2022'!AS36</f>
        <v>39</v>
      </c>
      <c r="AO7" s="76">
        <v>85992</v>
      </c>
      <c r="AP7" s="227">
        <f>AO7-'Oct2022'!AQ37</f>
        <v>0</v>
      </c>
      <c r="AQ7" s="76">
        <v>115817</v>
      </c>
      <c r="AR7" s="227">
        <f>AQ7-'Oct2022'!AS37</f>
        <v>0</v>
      </c>
      <c r="AS7" s="49">
        <f t="shared" ref="AS7:AS36" si="1">AP7+AR7</f>
        <v>0</v>
      </c>
      <c r="AT7" s="17">
        <v>2</v>
      </c>
      <c r="AV7" s="79"/>
      <c r="AW7" s="74"/>
      <c r="AX7" s="74"/>
    </row>
    <row r="8" spans="1:50" x14ac:dyDescent="0.25">
      <c r="B8" s="8">
        <f>B7+1</f>
        <v>44897</v>
      </c>
      <c r="C8" s="42" t="str">
        <f t="shared" ref="C8:C37" si="2">TEXT(B8,"ddd")</f>
        <v>Fri</v>
      </c>
      <c r="D8" s="289">
        <v>0.59967101999999994</v>
      </c>
      <c r="E8" s="289">
        <v>0.53131355000000002</v>
      </c>
      <c r="F8" s="289">
        <v>0.37692013000000002</v>
      </c>
      <c r="G8" s="345">
        <f t="shared" ref="G8:G37" si="3">SUMPRODUCT($D$6:$F$6,D8:F8)</f>
        <v>12591.004245</v>
      </c>
      <c r="H8" s="272">
        <v>0.55400000000000005</v>
      </c>
      <c r="I8" s="363">
        <v>0</v>
      </c>
      <c r="J8" s="344">
        <v>0</v>
      </c>
      <c r="K8" s="350">
        <v>3549084</v>
      </c>
      <c r="L8" s="348">
        <f>K8-K7</f>
        <v>13845</v>
      </c>
      <c r="M8" s="26"/>
      <c r="N8" s="26"/>
      <c r="O8" s="22"/>
      <c r="P8" s="22"/>
      <c r="Q8" s="21"/>
      <c r="R8" s="22"/>
      <c r="S8" s="21"/>
      <c r="T8" s="109">
        <v>0</v>
      </c>
      <c r="U8" s="109">
        <v>0</v>
      </c>
      <c r="V8" s="105">
        <f t="shared" si="0"/>
        <v>0</v>
      </c>
      <c r="W8" s="109">
        <v>0</v>
      </c>
      <c r="X8" s="109">
        <v>13845</v>
      </c>
      <c r="Y8" s="49">
        <f t="shared" ref="Y8:Y37" si="4">SUM(W8:X8)</f>
        <v>13845</v>
      </c>
      <c r="Z8" s="44">
        <v>0</v>
      </c>
      <c r="AA8" s="44">
        <v>0</v>
      </c>
      <c r="AB8" s="44">
        <v>0</v>
      </c>
      <c r="AC8" s="106">
        <v>23.929999999999836</v>
      </c>
      <c r="AD8" s="244"/>
      <c r="AE8" s="243">
        <f>AD8+AE7</f>
        <v>0</v>
      </c>
      <c r="AF8" s="369">
        <f>AVERAGE(14.81,15.91,15.74,15.76)</f>
        <v>15.555</v>
      </c>
      <c r="AG8" s="7">
        <v>269.89</v>
      </c>
      <c r="AH8" s="7">
        <f>AG8+AH7</f>
        <v>668.48</v>
      </c>
      <c r="AI8" s="84">
        <v>578803</v>
      </c>
      <c r="AJ8" s="76">
        <f t="shared" ref="AJ8:AJ37" si="5">AI8-AI7</f>
        <v>2900</v>
      </c>
      <c r="AK8" s="84">
        <v>78146</v>
      </c>
      <c r="AL8" s="76">
        <f t="shared" ref="AL8:AL22" si="6">AK8-AK7</f>
        <v>238</v>
      </c>
      <c r="AM8" s="76">
        <v>11289</v>
      </c>
      <c r="AN8" s="76">
        <f>AM8-AM7</f>
        <v>31</v>
      </c>
      <c r="AO8" s="76">
        <v>85992</v>
      </c>
      <c r="AP8" s="227">
        <f>AO8-AO7</f>
        <v>0</v>
      </c>
      <c r="AQ8" s="76">
        <v>115817</v>
      </c>
      <c r="AR8" s="227">
        <f>AQ8-AQ7</f>
        <v>0</v>
      </c>
      <c r="AS8" s="49">
        <f t="shared" si="1"/>
        <v>0</v>
      </c>
      <c r="AT8" s="17">
        <v>2</v>
      </c>
      <c r="AV8" s="79"/>
      <c r="AW8" s="74"/>
      <c r="AX8" s="74"/>
    </row>
    <row r="9" spans="1:50" x14ac:dyDescent="0.25">
      <c r="B9" s="8">
        <f>B8+1</f>
        <v>44898</v>
      </c>
      <c r="C9" s="42" t="str">
        <f t="shared" si="2"/>
        <v>Sat</v>
      </c>
      <c r="D9" s="289">
        <v>0.29561249000000001</v>
      </c>
      <c r="E9" s="289">
        <v>0.28258385000000003</v>
      </c>
      <c r="F9" s="289">
        <v>0.29491421000000001</v>
      </c>
      <c r="G9" s="345">
        <f t="shared" si="3"/>
        <v>7290.4730925000003</v>
      </c>
      <c r="H9" s="272">
        <v>0.55700000000000005</v>
      </c>
      <c r="I9" s="363">
        <v>0</v>
      </c>
      <c r="J9" s="344">
        <v>0</v>
      </c>
      <c r="K9" s="350">
        <f>3565066+794</f>
        <v>3565860</v>
      </c>
      <c r="L9" s="348">
        <f>K9-K8</f>
        <v>16776</v>
      </c>
      <c r="M9" s="26"/>
      <c r="N9" s="26"/>
      <c r="O9" s="22"/>
      <c r="P9" s="22"/>
      <c r="Q9" s="21"/>
      <c r="R9" s="22"/>
      <c r="S9" s="21"/>
      <c r="T9" s="109">
        <v>0</v>
      </c>
      <c r="U9" s="109">
        <v>0</v>
      </c>
      <c r="V9" s="105">
        <f t="shared" si="0"/>
        <v>0</v>
      </c>
      <c r="W9" s="109">
        <v>0</v>
      </c>
      <c r="X9" s="109">
        <v>16776</v>
      </c>
      <c r="Y9" s="49">
        <f t="shared" si="4"/>
        <v>16776</v>
      </c>
      <c r="Z9" s="44">
        <v>0</v>
      </c>
      <c r="AA9" s="44">
        <v>0</v>
      </c>
      <c r="AB9" s="44">
        <v>0</v>
      </c>
      <c r="AC9" s="106">
        <v>24</v>
      </c>
      <c r="AD9" s="244"/>
      <c r="AE9" s="243">
        <f>AD9+AE8</f>
        <v>0</v>
      </c>
      <c r="AF9" s="369">
        <f>AVERAGE(15.16,15.18,15.74,16.34)</f>
        <v>15.605</v>
      </c>
      <c r="AG9" s="102">
        <v>148.97</v>
      </c>
      <c r="AH9" s="7">
        <f t="shared" ref="AH9:AH36" si="7">AG9+AH8</f>
        <v>817.45</v>
      </c>
      <c r="AI9" s="84">
        <v>581714</v>
      </c>
      <c r="AJ9" s="76">
        <f t="shared" si="5"/>
        <v>2911</v>
      </c>
      <c r="AK9" s="84">
        <v>78446</v>
      </c>
      <c r="AL9" s="76">
        <f t="shared" si="6"/>
        <v>300</v>
      </c>
      <c r="AM9" s="76">
        <v>11321</v>
      </c>
      <c r="AN9" s="76">
        <f t="shared" ref="AN9:AN37" si="8">AM9-AM8</f>
        <v>32</v>
      </c>
      <c r="AO9" s="76">
        <v>85992</v>
      </c>
      <c r="AP9" s="227">
        <f>AO9-AO8</f>
        <v>0</v>
      </c>
      <c r="AQ9" s="76">
        <v>115817</v>
      </c>
      <c r="AR9" s="227">
        <f t="shared" ref="AR9:AR36" si="9">AQ9-AQ8</f>
        <v>0</v>
      </c>
      <c r="AS9" s="49">
        <f t="shared" si="1"/>
        <v>0</v>
      </c>
      <c r="AT9" s="17">
        <v>2</v>
      </c>
      <c r="AV9" s="79"/>
      <c r="AW9" s="74"/>
      <c r="AX9" s="74"/>
    </row>
    <row r="10" spans="1:50" x14ac:dyDescent="0.25">
      <c r="A10" s="1" t="s">
        <v>100</v>
      </c>
      <c r="B10" s="8">
        <f t="shared" ref="B10:B37" si="10">B9+1</f>
        <v>44899</v>
      </c>
      <c r="C10" s="42" t="str">
        <f t="shared" si="2"/>
        <v>Sun</v>
      </c>
      <c r="D10" s="289">
        <v>0.76633545000000003</v>
      </c>
      <c r="E10" s="289">
        <v>0.65905440999999998</v>
      </c>
      <c r="F10" s="289">
        <v>0.25346447</v>
      </c>
      <c r="G10" s="345">
        <f t="shared" si="3"/>
        <v>14018.433655500001</v>
      </c>
      <c r="H10" s="273">
        <v>0.56000000000000005</v>
      </c>
      <c r="I10" s="363">
        <v>0</v>
      </c>
      <c r="J10" s="344">
        <v>0</v>
      </c>
      <c r="K10" s="350">
        <v>4462100</v>
      </c>
      <c r="L10" s="348">
        <f t="shared" ref="L10:L37" si="11">K10-K9</f>
        <v>896240</v>
      </c>
      <c r="M10" s="26"/>
      <c r="N10" s="26"/>
      <c r="O10" s="22"/>
      <c r="P10" s="22"/>
      <c r="Q10" s="21"/>
      <c r="R10" s="22"/>
      <c r="S10" s="21"/>
      <c r="T10" s="109">
        <v>0</v>
      </c>
      <c r="U10" s="109">
        <v>0</v>
      </c>
      <c r="V10" s="105">
        <f t="shared" si="0"/>
        <v>0</v>
      </c>
      <c r="W10" s="109">
        <v>0</v>
      </c>
      <c r="X10" s="109">
        <v>6390</v>
      </c>
      <c r="Y10" s="49">
        <f t="shared" si="4"/>
        <v>6390</v>
      </c>
      <c r="Z10" s="44">
        <v>0</v>
      </c>
      <c r="AA10" s="44">
        <v>0</v>
      </c>
      <c r="AB10" s="44">
        <v>0</v>
      </c>
      <c r="AC10" s="106">
        <v>6.0100000000002183</v>
      </c>
      <c r="AD10" s="244"/>
      <c r="AE10" s="243">
        <f>AD10+AE9</f>
        <v>0</v>
      </c>
      <c r="AF10" s="369"/>
      <c r="AG10" s="102">
        <v>0</v>
      </c>
      <c r="AH10" s="7">
        <f t="shared" si="7"/>
        <v>817.45</v>
      </c>
      <c r="AI10" s="84">
        <v>584814</v>
      </c>
      <c r="AJ10" s="76">
        <f t="shared" si="5"/>
        <v>3100</v>
      </c>
      <c r="AK10" s="84">
        <v>78806</v>
      </c>
      <c r="AL10" s="76">
        <f t="shared" si="6"/>
        <v>360</v>
      </c>
      <c r="AM10" s="76">
        <v>11408</v>
      </c>
      <c r="AN10" s="76">
        <f t="shared" si="8"/>
        <v>87</v>
      </c>
      <c r="AO10" s="76">
        <v>85992</v>
      </c>
      <c r="AP10" s="227">
        <f t="shared" ref="AP10:AP36" si="12">AO10-AO9</f>
        <v>0</v>
      </c>
      <c r="AQ10" s="76">
        <v>115817</v>
      </c>
      <c r="AR10" s="227">
        <f t="shared" si="9"/>
        <v>0</v>
      </c>
      <c r="AS10" s="49">
        <f t="shared" si="1"/>
        <v>0</v>
      </c>
      <c r="AT10" s="17" t="s">
        <v>54</v>
      </c>
      <c r="AV10" s="79"/>
      <c r="AW10" s="74"/>
      <c r="AX10" s="74"/>
    </row>
    <row r="11" spans="1:50" x14ac:dyDescent="0.25">
      <c r="B11" s="8">
        <f t="shared" si="10"/>
        <v>44900</v>
      </c>
      <c r="C11" s="42" t="str">
        <f t="shared" si="2"/>
        <v>Mon</v>
      </c>
      <c r="D11" s="289">
        <v>0.68066909999999992</v>
      </c>
      <c r="E11" s="289">
        <v>0.7235670500000001</v>
      </c>
      <c r="F11" s="289">
        <v>0.48498942999999994</v>
      </c>
      <c r="G11" s="345">
        <f t="shared" si="3"/>
        <v>15775.033593</v>
      </c>
      <c r="H11" s="274">
        <v>0.56000000000000005</v>
      </c>
      <c r="I11" s="363">
        <v>0</v>
      </c>
      <c r="J11" s="344">
        <v>0</v>
      </c>
      <c r="K11" s="351">
        <v>4463457</v>
      </c>
      <c r="L11" s="348">
        <f t="shared" si="11"/>
        <v>1357</v>
      </c>
      <c r="M11" s="26"/>
      <c r="N11" s="26"/>
      <c r="O11" s="22"/>
      <c r="P11" s="22"/>
      <c r="Q11" s="21"/>
      <c r="R11" s="22"/>
      <c r="S11" s="21"/>
      <c r="T11" s="109">
        <v>0</v>
      </c>
      <c r="U11" s="109">
        <v>0</v>
      </c>
      <c r="V11" s="105">
        <f t="shared" si="0"/>
        <v>0</v>
      </c>
      <c r="W11" s="109">
        <v>0</v>
      </c>
      <c r="X11" s="109">
        <v>10702</v>
      </c>
      <c r="Y11" s="49">
        <f t="shared" si="4"/>
        <v>10702</v>
      </c>
      <c r="Z11" s="44">
        <v>0</v>
      </c>
      <c r="AA11" s="44">
        <v>0</v>
      </c>
      <c r="AB11" s="44">
        <v>0</v>
      </c>
      <c r="AC11" s="106">
        <v>17.820000000000164</v>
      </c>
      <c r="AD11" s="245"/>
      <c r="AE11" s="243">
        <f t="shared" ref="AE11:AE36" si="13">AD11+AE10</f>
        <v>0</v>
      </c>
      <c r="AF11" s="369">
        <f>AVERAGE(18.03,17.67,15.8,17.49,17.24)</f>
        <v>17.245999999999999</v>
      </c>
      <c r="AG11" s="102">
        <v>187.65</v>
      </c>
      <c r="AH11" s="7">
        <f t="shared" si="7"/>
        <v>1005.1</v>
      </c>
      <c r="AI11" s="84">
        <v>587857</v>
      </c>
      <c r="AJ11" s="76">
        <f t="shared" si="5"/>
        <v>3043</v>
      </c>
      <c r="AK11" s="84">
        <v>79116</v>
      </c>
      <c r="AL11" s="76">
        <f t="shared" si="6"/>
        <v>310</v>
      </c>
      <c r="AM11" s="76">
        <v>11440</v>
      </c>
      <c r="AN11" s="76">
        <f t="shared" si="8"/>
        <v>32</v>
      </c>
      <c r="AO11" s="76">
        <v>85992</v>
      </c>
      <c r="AP11" s="227">
        <f t="shared" si="12"/>
        <v>0</v>
      </c>
      <c r="AQ11" s="76">
        <v>115817</v>
      </c>
      <c r="AR11" s="227">
        <f t="shared" si="9"/>
        <v>0</v>
      </c>
      <c r="AS11" s="49">
        <f t="shared" si="1"/>
        <v>0</v>
      </c>
      <c r="AT11" s="17" t="s">
        <v>84</v>
      </c>
      <c r="AV11" s="79"/>
      <c r="AW11" s="74"/>
      <c r="AX11" s="74"/>
    </row>
    <row r="12" spans="1:50" x14ac:dyDescent="0.25">
      <c r="B12" s="8">
        <f t="shared" si="10"/>
        <v>44901</v>
      </c>
      <c r="C12" s="42" t="str">
        <f t="shared" si="2"/>
        <v>Tue</v>
      </c>
      <c r="D12" s="289">
        <v>0.51434189000000008</v>
      </c>
      <c r="E12" s="289">
        <v>0.40594467000000001</v>
      </c>
      <c r="F12" s="289">
        <v>0.61800083000000006</v>
      </c>
      <c r="G12" s="345">
        <f t="shared" si="3"/>
        <v>12844.699706500001</v>
      </c>
      <c r="H12" s="275">
        <v>0.55500000000000005</v>
      </c>
      <c r="I12" s="363">
        <v>0</v>
      </c>
      <c r="J12" s="344">
        <v>0</v>
      </c>
      <c r="K12" s="351">
        <v>4474173</v>
      </c>
      <c r="L12" s="348">
        <f t="shared" si="11"/>
        <v>10716</v>
      </c>
      <c r="M12" s="26"/>
      <c r="N12" s="26"/>
      <c r="O12" s="22"/>
      <c r="P12" s="22"/>
      <c r="Q12" s="21"/>
      <c r="R12" s="22"/>
      <c r="S12" s="21"/>
      <c r="T12" s="109">
        <v>0</v>
      </c>
      <c r="U12" s="109">
        <v>0</v>
      </c>
      <c r="V12" s="105">
        <f t="shared" si="0"/>
        <v>0</v>
      </c>
      <c r="W12" s="109">
        <v>0</v>
      </c>
      <c r="X12" s="109">
        <v>12284</v>
      </c>
      <c r="Y12" s="49">
        <f t="shared" si="4"/>
        <v>12284</v>
      </c>
      <c r="Z12" s="44">
        <v>0</v>
      </c>
      <c r="AA12" s="44">
        <v>0</v>
      </c>
      <c r="AB12" s="44">
        <v>0</v>
      </c>
      <c r="AC12" s="106">
        <v>23.649999999999636</v>
      </c>
      <c r="AD12" s="245"/>
      <c r="AE12" s="243">
        <f t="shared" si="13"/>
        <v>0</v>
      </c>
      <c r="AF12" s="368">
        <v>16.36</v>
      </c>
      <c r="AG12" s="102">
        <v>180.27</v>
      </c>
      <c r="AH12" s="7">
        <f t="shared" si="7"/>
        <v>1185.3700000000001</v>
      </c>
      <c r="AI12" s="84">
        <v>590899</v>
      </c>
      <c r="AJ12" s="76">
        <f t="shared" si="5"/>
        <v>3042</v>
      </c>
      <c r="AK12" s="84">
        <v>79426</v>
      </c>
      <c r="AL12" s="76">
        <f t="shared" si="6"/>
        <v>310</v>
      </c>
      <c r="AM12" s="76">
        <v>11460</v>
      </c>
      <c r="AN12" s="76">
        <f t="shared" si="8"/>
        <v>20</v>
      </c>
      <c r="AO12" s="76">
        <v>85992</v>
      </c>
      <c r="AP12" s="227">
        <f t="shared" si="12"/>
        <v>0</v>
      </c>
      <c r="AQ12" s="76">
        <v>115817</v>
      </c>
      <c r="AR12" s="227">
        <f t="shared" si="9"/>
        <v>0</v>
      </c>
      <c r="AS12" s="49">
        <f t="shared" si="1"/>
        <v>0</v>
      </c>
      <c r="AT12" s="17">
        <v>2</v>
      </c>
      <c r="AV12" s="79"/>
      <c r="AW12" s="74"/>
      <c r="AX12" s="74"/>
    </row>
    <row r="13" spans="1:50" x14ac:dyDescent="0.25">
      <c r="B13" s="8">
        <f t="shared" si="10"/>
        <v>44902</v>
      </c>
      <c r="C13" s="42" t="str">
        <f t="shared" si="2"/>
        <v>Wed</v>
      </c>
      <c r="D13" s="289">
        <v>0.39695388999999998</v>
      </c>
      <c r="E13" s="289">
        <v>0.39210907</v>
      </c>
      <c r="F13" s="289">
        <v>0.21793590999999998</v>
      </c>
      <c r="G13" s="345">
        <f t="shared" si="3"/>
        <v>8408.4405644999988</v>
      </c>
      <c r="H13" s="275">
        <v>0.55400000000000005</v>
      </c>
      <c r="I13" s="363">
        <v>0</v>
      </c>
      <c r="J13" s="344">
        <v>0</v>
      </c>
      <c r="K13" s="351">
        <v>4496108</v>
      </c>
      <c r="L13" s="348">
        <f t="shared" si="11"/>
        <v>21935</v>
      </c>
      <c r="M13" s="26"/>
      <c r="N13" s="26"/>
      <c r="O13" s="22"/>
      <c r="P13" s="22"/>
      <c r="Q13" s="21"/>
      <c r="R13" s="22"/>
      <c r="S13" s="21"/>
      <c r="T13" s="109">
        <v>0</v>
      </c>
      <c r="U13" s="109">
        <v>0</v>
      </c>
      <c r="V13" s="105">
        <f t="shared" si="0"/>
        <v>0</v>
      </c>
      <c r="W13" s="109">
        <v>0</v>
      </c>
      <c r="X13" s="109">
        <v>10886</v>
      </c>
      <c r="Y13" s="49">
        <f t="shared" si="4"/>
        <v>10886</v>
      </c>
      <c r="Z13" s="44">
        <v>0</v>
      </c>
      <c r="AA13" s="44">
        <v>0</v>
      </c>
      <c r="AB13" s="44">
        <v>0</v>
      </c>
      <c r="AC13" s="106">
        <v>16.340000000000146</v>
      </c>
      <c r="AD13" s="245"/>
      <c r="AE13" s="243">
        <f t="shared" si="13"/>
        <v>0</v>
      </c>
      <c r="AF13" s="370">
        <v>14.41</v>
      </c>
      <c r="AG13" s="7">
        <v>5.91</v>
      </c>
      <c r="AH13" s="7">
        <f t="shared" si="7"/>
        <v>1191.2800000000002</v>
      </c>
      <c r="AI13" s="84">
        <v>595213</v>
      </c>
      <c r="AJ13" s="76">
        <f t="shared" si="5"/>
        <v>4314</v>
      </c>
      <c r="AK13" s="84">
        <v>79567</v>
      </c>
      <c r="AL13" s="76">
        <f t="shared" si="6"/>
        <v>141</v>
      </c>
      <c r="AM13" s="76">
        <v>11482</v>
      </c>
      <c r="AN13" s="76">
        <f t="shared" si="8"/>
        <v>22</v>
      </c>
      <c r="AO13" s="76">
        <v>85992</v>
      </c>
      <c r="AP13" s="227">
        <f t="shared" si="12"/>
        <v>0</v>
      </c>
      <c r="AQ13" s="76">
        <v>115817</v>
      </c>
      <c r="AR13" s="227">
        <f t="shared" si="9"/>
        <v>0</v>
      </c>
      <c r="AS13" s="49">
        <f t="shared" si="1"/>
        <v>0</v>
      </c>
      <c r="AT13" s="17">
        <v>2</v>
      </c>
      <c r="AV13" s="79"/>
      <c r="AW13" s="74"/>
      <c r="AX13" s="74"/>
    </row>
    <row r="14" spans="1:50" x14ac:dyDescent="0.25">
      <c r="B14" s="8">
        <f t="shared" si="10"/>
        <v>44903</v>
      </c>
      <c r="C14" s="42" t="str">
        <f t="shared" si="2"/>
        <v>Thu</v>
      </c>
      <c r="D14" s="289">
        <v>0.71774033000000004</v>
      </c>
      <c r="E14" s="289">
        <v>0.49165236999999995</v>
      </c>
      <c r="F14" s="289">
        <v>0.34546947000000006</v>
      </c>
      <c r="G14" s="345">
        <f t="shared" si="3"/>
        <v>12983.099119500001</v>
      </c>
      <c r="H14" s="276">
        <v>0.55700000000000005</v>
      </c>
      <c r="I14" s="363">
        <v>0</v>
      </c>
      <c r="J14" s="344">
        <v>0</v>
      </c>
      <c r="K14" s="351">
        <v>3610730</v>
      </c>
      <c r="L14" s="348">
        <f t="shared" si="11"/>
        <v>-885378</v>
      </c>
      <c r="M14" s="26"/>
      <c r="N14" s="26"/>
      <c r="O14" s="22"/>
      <c r="P14" s="22"/>
      <c r="Q14" s="21"/>
      <c r="R14" s="22"/>
      <c r="S14" s="21"/>
      <c r="T14" s="109">
        <v>0</v>
      </c>
      <c r="U14" s="109">
        <v>0</v>
      </c>
      <c r="V14" s="105">
        <f t="shared" si="0"/>
        <v>0</v>
      </c>
      <c r="W14" s="109">
        <v>0</v>
      </c>
      <c r="X14" s="109">
        <v>4608</v>
      </c>
      <c r="Y14" s="49">
        <f t="shared" si="4"/>
        <v>4608</v>
      </c>
      <c r="Z14" s="44">
        <v>0</v>
      </c>
      <c r="AA14" s="44">
        <v>0</v>
      </c>
      <c r="AB14" s="44">
        <v>0</v>
      </c>
      <c r="AC14" s="106">
        <v>10.050000000000182</v>
      </c>
      <c r="AD14" s="245"/>
      <c r="AE14" s="243">
        <f t="shared" si="13"/>
        <v>0</v>
      </c>
      <c r="AF14" s="371"/>
      <c r="AG14" s="7">
        <v>0</v>
      </c>
      <c r="AH14" s="7">
        <f t="shared" si="7"/>
        <v>1191.2800000000002</v>
      </c>
      <c r="AI14" s="84">
        <v>599526</v>
      </c>
      <c r="AJ14" s="76">
        <f t="shared" si="5"/>
        <v>4313</v>
      </c>
      <c r="AK14" s="84">
        <v>79744</v>
      </c>
      <c r="AL14" s="76">
        <f t="shared" si="6"/>
        <v>177</v>
      </c>
      <c r="AM14" s="76">
        <v>11531</v>
      </c>
      <c r="AN14" s="76">
        <f t="shared" si="8"/>
        <v>49</v>
      </c>
      <c r="AO14" s="76">
        <v>85992</v>
      </c>
      <c r="AP14" s="227">
        <f t="shared" si="12"/>
        <v>0</v>
      </c>
      <c r="AQ14" s="76">
        <v>115817</v>
      </c>
      <c r="AR14" s="227">
        <f t="shared" si="9"/>
        <v>0</v>
      </c>
      <c r="AS14" s="49">
        <f t="shared" si="1"/>
        <v>0</v>
      </c>
      <c r="AT14" s="17">
        <v>2</v>
      </c>
      <c r="AV14" s="79"/>
      <c r="AW14" s="74"/>
      <c r="AX14" s="74"/>
    </row>
    <row r="15" spans="1:50" x14ac:dyDescent="0.25">
      <c r="B15" s="8">
        <f t="shared" si="10"/>
        <v>44904</v>
      </c>
      <c r="C15" s="42" t="str">
        <f t="shared" si="2"/>
        <v>Fri</v>
      </c>
      <c r="D15" s="289">
        <v>0.41911925999999999</v>
      </c>
      <c r="E15" s="289">
        <v>0.65599541000000006</v>
      </c>
      <c r="F15" s="289">
        <v>0.43721111000000001</v>
      </c>
      <c r="G15" s="345">
        <f t="shared" si="3"/>
        <v>12627.920263</v>
      </c>
      <c r="H15" s="276">
        <v>0.55600000000000005</v>
      </c>
      <c r="I15" s="363">
        <v>0</v>
      </c>
      <c r="J15" s="344">
        <v>0</v>
      </c>
      <c r="K15" s="352">
        <v>3616357</v>
      </c>
      <c r="L15" s="348">
        <f t="shared" si="11"/>
        <v>5627</v>
      </c>
      <c r="M15" s="25"/>
      <c r="N15" s="25"/>
      <c r="O15" s="22"/>
      <c r="P15" s="22"/>
      <c r="Q15" s="21"/>
      <c r="R15" s="22"/>
      <c r="S15" s="21"/>
      <c r="T15" s="109">
        <v>0</v>
      </c>
      <c r="U15" s="109">
        <v>0</v>
      </c>
      <c r="V15" s="105">
        <f t="shared" si="0"/>
        <v>0</v>
      </c>
      <c r="W15" s="109">
        <v>0</v>
      </c>
      <c r="X15" s="109">
        <v>5627</v>
      </c>
      <c r="Y15" s="49">
        <f t="shared" si="4"/>
        <v>5627</v>
      </c>
      <c r="Z15" s="44">
        <v>0</v>
      </c>
      <c r="AA15" s="44">
        <v>0</v>
      </c>
      <c r="AB15" s="44">
        <v>0</v>
      </c>
      <c r="AC15" s="106">
        <v>10.889999999999873</v>
      </c>
      <c r="AD15" s="245"/>
      <c r="AE15" s="243">
        <f t="shared" si="13"/>
        <v>0</v>
      </c>
      <c r="AF15" s="371"/>
      <c r="AG15" s="7">
        <v>0</v>
      </c>
      <c r="AH15" s="7">
        <f t="shared" si="7"/>
        <v>1191.2800000000002</v>
      </c>
      <c r="AI15" s="84">
        <v>601367</v>
      </c>
      <c r="AJ15" s="76">
        <f t="shared" si="5"/>
        <v>1841</v>
      </c>
      <c r="AK15" s="84">
        <v>79921</v>
      </c>
      <c r="AL15" s="76">
        <f t="shared" si="6"/>
        <v>177</v>
      </c>
      <c r="AM15" s="76">
        <v>11560</v>
      </c>
      <c r="AN15" s="76">
        <f t="shared" si="8"/>
        <v>29</v>
      </c>
      <c r="AO15" s="76">
        <v>85992</v>
      </c>
      <c r="AP15" s="227">
        <f t="shared" si="12"/>
        <v>0</v>
      </c>
      <c r="AQ15" s="76">
        <v>115817</v>
      </c>
      <c r="AR15" s="227">
        <f t="shared" si="9"/>
        <v>0</v>
      </c>
      <c r="AS15" s="49">
        <f t="shared" si="1"/>
        <v>0</v>
      </c>
      <c r="AT15" s="17">
        <v>2</v>
      </c>
      <c r="AV15" s="79"/>
      <c r="AW15" s="74"/>
      <c r="AX15" s="74"/>
    </row>
    <row r="16" spans="1:50" x14ac:dyDescent="0.25">
      <c r="B16" s="8">
        <f t="shared" si="10"/>
        <v>44905</v>
      </c>
      <c r="C16" s="42" t="str">
        <f t="shared" si="2"/>
        <v>Sat</v>
      </c>
      <c r="D16" s="289">
        <v>0.33197609</v>
      </c>
      <c r="E16" s="289">
        <v>0.47100174</v>
      </c>
      <c r="F16" s="289">
        <v>0.1521236</v>
      </c>
      <c r="G16" s="345">
        <f t="shared" si="3"/>
        <v>7975.0969404999996</v>
      </c>
      <c r="H16" s="276">
        <v>0.56100000000000005</v>
      </c>
      <c r="I16" s="363">
        <v>0</v>
      </c>
      <c r="J16" s="344">
        <v>0</v>
      </c>
      <c r="K16" s="352">
        <v>3625987</v>
      </c>
      <c r="L16" s="348">
        <f t="shared" si="11"/>
        <v>9630</v>
      </c>
      <c r="M16" s="23"/>
      <c r="N16" s="23"/>
      <c r="O16" s="22"/>
      <c r="P16" s="22"/>
      <c r="Q16" s="21"/>
      <c r="R16" s="22"/>
      <c r="S16" s="21"/>
      <c r="T16" s="109">
        <v>0</v>
      </c>
      <c r="U16" s="109">
        <v>0</v>
      </c>
      <c r="V16" s="105">
        <f t="shared" si="0"/>
        <v>0</v>
      </c>
      <c r="W16" s="109">
        <v>0</v>
      </c>
      <c r="X16" s="109">
        <v>9630</v>
      </c>
      <c r="Y16" s="49">
        <f t="shared" si="4"/>
        <v>9630</v>
      </c>
      <c r="Z16" s="44">
        <v>0</v>
      </c>
      <c r="AA16" s="44">
        <v>0</v>
      </c>
      <c r="AB16" s="44">
        <v>0</v>
      </c>
      <c r="AC16" s="106">
        <v>18.050000000000182</v>
      </c>
      <c r="AD16" s="244"/>
      <c r="AE16" s="243">
        <f t="shared" si="13"/>
        <v>0</v>
      </c>
      <c r="AF16" s="371"/>
      <c r="AG16" s="7">
        <v>0</v>
      </c>
      <c r="AH16" s="7">
        <f t="shared" si="7"/>
        <v>1191.2800000000002</v>
      </c>
      <c r="AI16" s="84">
        <v>603457</v>
      </c>
      <c r="AJ16" s="76">
        <f t="shared" si="5"/>
        <v>2090</v>
      </c>
      <c r="AK16" s="84">
        <v>79976</v>
      </c>
      <c r="AL16" s="76">
        <f t="shared" si="6"/>
        <v>55</v>
      </c>
      <c r="AM16" s="76">
        <v>11571</v>
      </c>
      <c r="AN16" s="76">
        <f t="shared" si="8"/>
        <v>11</v>
      </c>
      <c r="AO16" s="76">
        <v>85992</v>
      </c>
      <c r="AP16" s="227">
        <f t="shared" si="12"/>
        <v>0</v>
      </c>
      <c r="AQ16" s="76">
        <v>115817</v>
      </c>
      <c r="AR16" s="227">
        <f t="shared" si="9"/>
        <v>0</v>
      </c>
      <c r="AS16" s="49">
        <f t="shared" si="1"/>
        <v>0</v>
      </c>
      <c r="AT16" s="17">
        <v>2</v>
      </c>
      <c r="AV16" s="79"/>
      <c r="AW16" s="74"/>
      <c r="AX16" s="74"/>
    </row>
    <row r="17" spans="2:50" x14ac:dyDescent="0.25">
      <c r="B17" s="8">
        <f t="shared" si="10"/>
        <v>44906</v>
      </c>
      <c r="C17" s="42" t="str">
        <f t="shared" si="2"/>
        <v>Sun</v>
      </c>
      <c r="D17" s="289">
        <v>0.25421593000000003</v>
      </c>
      <c r="E17" s="289">
        <v>0.34723906999999998</v>
      </c>
      <c r="F17" s="289">
        <v>0.27718600999999998</v>
      </c>
      <c r="G17" s="345">
        <f t="shared" si="3"/>
        <v>7336.6524335000004</v>
      </c>
      <c r="H17" s="275">
        <v>0.56299999999999994</v>
      </c>
      <c r="I17" s="363">
        <v>0</v>
      </c>
      <c r="J17" s="344">
        <v>0</v>
      </c>
      <c r="K17" s="352">
        <f>3631730-1397</f>
        <v>3630333</v>
      </c>
      <c r="L17" s="348">
        <f t="shared" si="11"/>
        <v>4346</v>
      </c>
      <c r="M17" s="26"/>
      <c r="N17" s="26"/>
      <c r="O17" s="22"/>
      <c r="P17" s="22"/>
      <c r="Q17" s="21"/>
      <c r="R17" s="22"/>
      <c r="S17" s="21"/>
      <c r="T17" s="109">
        <v>0</v>
      </c>
      <c r="U17" s="109">
        <v>0</v>
      </c>
      <c r="V17" s="105">
        <f t="shared" ref="V17:V37" si="14">SUM(T17:U17)</f>
        <v>0</v>
      </c>
      <c r="W17" s="109">
        <v>0</v>
      </c>
      <c r="X17" s="109">
        <v>4346</v>
      </c>
      <c r="Y17" s="49">
        <f t="shared" si="4"/>
        <v>4346</v>
      </c>
      <c r="Z17" s="44">
        <v>0</v>
      </c>
      <c r="AA17" s="44">
        <v>0</v>
      </c>
      <c r="AB17" s="44">
        <v>0</v>
      </c>
      <c r="AC17" s="106">
        <v>5.3499999999999091</v>
      </c>
      <c r="AD17" s="244"/>
      <c r="AE17" s="243">
        <f t="shared" si="13"/>
        <v>0</v>
      </c>
      <c r="AF17" s="243"/>
      <c r="AG17" s="7">
        <v>0</v>
      </c>
      <c r="AH17" s="7">
        <f t="shared" si="7"/>
        <v>1191.2800000000002</v>
      </c>
      <c r="AI17" s="84">
        <v>605546</v>
      </c>
      <c r="AJ17" s="76">
        <f t="shared" si="5"/>
        <v>2089</v>
      </c>
      <c r="AK17" s="84">
        <v>80128</v>
      </c>
      <c r="AL17" s="76">
        <f t="shared" si="6"/>
        <v>152</v>
      </c>
      <c r="AM17" s="76">
        <v>11615</v>
      </c>
      <c r="AN17" s="76">
        <f t="shared" si="8"/>
        <v>44</v>
      </c>
      <c r="AO17" s="76">
        <v>85992</v>
      </c>
      <c r="AP17" s="227">
        <f t="shared" si="12"/>
        <v>0</v>
      </c>
      <c r="AQ17" s="76">
        <v>115817</v>
      </c>
      <c r="AR17" s="227">
        <f t="shared" si="9"/>
        <v>0</v>
      </c>
      <c r="AS17" s="49">
        <f t="shared" si="1"/>
        <v>0</v>
      </c>
      <c r="AT17" s="17" t="s">
        <v>54</v>
      </c>
      <c r="AV17" s="79"/>
      <c r="AW17" s="74"/>
      <c r="AX17" s="74"/>
    </row>
    <row r="18" spans="2:50" x14ac:dyDescent="0.25">
      <c r="B18" s="8">
        <f t="shared" si="10"/>
        <v>44907</v>
      </c>
      <c r="C18" s="42" t="str">
        <f t="shared" si="2"/>
        <v>Mon</v>
      </c>
      <c r="D18" s="289">
        <v>0.90341599000000006</v>
      </c>
      <c r="E18" s="289">
        <v>0.59589912</v>
      </c>
      <c r="F18" s="289">
        <v>0.41764232999999995</v>
      </c>
      <c r="G18" s="345">
        <f t="shared" si="3"/>
        <v>16006.594624000001</v>
      </c>
      <c r="H18" s="275">
        <v>0.55700000000000005</v>
      </c>
      <c r="I18" s="363">
        <v>0</v>
      </c>
      <c r="J18" s="344">
        <v>0</v>
      </c>
      <c r="K18" s="352">
        <v>3632420</v>
      </c>
      <c r="L18" s="348">
        <f t="shared" si="11"/>
        <v>2087</v>
      </c>
      <c r="M18" s="26"/>
      <c r="N18" s="26"/>
      <c r="O18" s="22"/>
      <c r="P18" s="22"/>
      <c r="Q18" s="21"/>
      <c r="R18" s="22"/>
      <c r="S18" s="21"/>
      <c r="T18" s="109">
        <v>0</v>
      </c>
      <c r="U18" s="109">
        <v>0</v>
      </c>
      <c r="V18" s="105">
        <f t="shared" si="14"/>
        <v>0</v>
      </c>
      <c r="W18" s="109">
        <v>0</v>
      </c>
      <c r="X18" s="109">
        <v>2087</v>
      </c>
      <c r="Y18" s="49">
        <f t="shared" si="4"/>
        <v>2087</v>
      </c>
      <c r="Z18" s="44">
        <v>0</v>
      </c>
      <c r="AA18" s="44">
        <v>0</v>
      </c>
      <c r="AB18" s="44">
        <v>0</v>
      </c>
      <c r="AC18" s="106">
        <v>2.8599999999996726</v>
      </c>
      <c r="AD18" s="239"/>
      <c r="AE18" s="243">
        <f t="shared" si="13"/>
        <v>0</v>
      </c>
      <c r="AF18" s="243"/>
      <c r="AG18" s="7">
        <v>0</v>
      </c>
      <c r="AH18" s="7">
        <f t="shared" si="7"/>
        <v>1191.2800000000002</v>
      </c>
      <c r="AI18" s="84">
        <v>607516</v>
      </c>
      <c r="AJ18" s="76">
        <f t="shared" si="5"/>
        <v>1970</v>
      </c>
      <c r="AK18" s="84">
        <v>80280</v>
      </c>
      <c r="AL18" s="76">
        <f t="shared" si="6"/>
        <v>152</v>
      </c>
      <c r="AM18" s="76">
        <v>11659</v>
      </c>
      <c r="AN18" s="76">
        <f t="shared" si="8"/>
        <v>44</v>
      </c>
      <c r="AO18" s="76">
        <v>85992</v>
      </c>
      <c r="AP18" s="227">
        <f t="shared" si="12"/>
        <v>0</v>
      </c>
      <c r="AQ18" s="76">
        <v>115817</v>
      </c>
      <c r="AR18" s="227">
        <f t="shared" si="9"/>
        <v>0</v>
      </c>
      <c r="AS18" s="49">
        <f t="shared" si="1"/>
        <v>0</v>
      </c>
      <c r="AT18" s="17">
        <v>2</v>
      </c>
      <c r="AV18" s="79"/>
      <c r="AW18" s="74"/>
      <c r="AX18" s="74"/>
    </row>
    <row r="19" spans="2:50" x14ac:dyDescent="0.25">
      <c r="B19" s="8">
        <f t="shared" si="10"/>
        <v>44908</v>
      </c>
      <c r="C19" s="42" t="str">
        <f t="shared" si="2"/>
        <v>Tue</v>
      </c>
      <c r="D19" s="289">
        <v>0.50040649000000004</v>
      </c>
      <c r="E19" s="289">
        <v>0.40379677000000003</v>
      </c>
      <c r="F19" s="289">
        <v>0.53094127999999996</v>
      </c>
      <c r="G19" s="345">
        <f t="shared" si="3"/>
        <v>11983.456909</v>
      </c>
      <c r="H19" s="276">
        <v>0.56100000000000005</v>
      </c>
      <c r="I19" s="363">
        <v>0</v>
      </c>
      <c r="J19" s="344">
        <v>0</v>
      </c>
      <c r="K19" s="352">
        <v>3640781</v>
      </c>
      <c r="L19" s="348">
        <f t="shared" si="11"/>
        <v>8361</v>
      </c>
      <c r="M19" s="26"/>
      <c r="N19" s="26"/>
      <c r="O19" s="22"/>
      <c r="P19" s="22"/>
      <c r="Q19" s="21"/>
      <c r="R19" s="22"/>
      <c r="S19" s="21"/>
      <c r="T19" s="109">
        <v>0</v>
      </c>
      <c r="U19" s="109">
        <v>0</v>
      </c>
      <c r="V19" s="105">
        <f t="shared" si="14"/>
        <v>0</v>
      </c>
      <c r="W19" s="109">
        <v>0</v>
      </c>
      <c r="X19" s="103">
        <v>8361</v>
      </c>
      <c r="Y19" s="49">
        <f t="shared" si="4"/>
        <v>8361</v>
      </c>
      <c r="Z19" s="44">
        <v>0</v>
      </c>
      <c r="AA19" s="44">
        <v>0</v>
      </c>
      <c r="AB19" s="44">
        <v>0</v>
      </c>
      <c r="AC19" s="106">
        <v>15.700000000000273</v>
      </c>
      <c r="AD19" s="244"/>
      <c r="AE19" s="243">
        <f t="shared" si="13"/>
        <v>0</v>
      </c>
      <c r="AF19" s="243"/>
      <c r="AG19" s="7">
        <v>0</v>
      </c>
      <c r="AH19" s="7">
        <f t="shared" si="7"/>
        <v>1191.2800000000002</v>
      </c>
      <c r="AI19" s="84">
        <v>610067</v>
      </c>
      <c r="AJ19" s="76">
        <f t="shared" si="5"/>
        <v>2551</v>
      </c>
      <c r="AK19" s="84">
        <v>80447</v>
      </c>
      <c r="AL19" s="76">
        <f t="shared" si="6"/>
        <v>167</v>
      </c>
      <c r="AM19" s="76">
        <v>11701</v>
      </c>
      <c r="AN19" s="76">
        <f t="shared" si="8"/>
        <v>42</v>
      </c>
      <c r="AO19" s="76">
        <v>85992</v>
      </c>
      <c r="AP19" s="227">
        <f t="shared" si="12"/>
        <v>0</v>
      </c>
      <c r="AQ19" s="76">
        <v>115817</v>
      </c>
      <c r="AR19" s="227">
        <f t="shared" si="9"/>
        <v>0</v>
      </c>
      <c r="AS19" s="49">
        <f t="shared" si="1"/>
        <v>0</v>
      </c>
      <c r="AT19" s="17">
        <v>2</v>
      </c>
      <c r="AV19" s="79"/>
      <c r="AW19" s="74"/>
      <c r="AX19" s="74"/>
    </row>
    <row r="20" spans="2:50" x14ac:dyDescent="0.25">
      <c r="B20" s="8">
        <f t="shared" si="10"/>
        <v>44909</v>
      </c>
      <c r="C20" s="42" t="str">
        <f t="shared" si="2"/>
        <v>Wed</v>
      </c>
      <c r="D20" s="289">
        <v>0.41630141999999998</v>
      </c>
      <c r="E20" s="289">
        <v>0.48760117000000003</v>
      </c>
      <c r="F20" s="289">
        <v>0.66058181999999999</v>
      </c>
      <c r="G20" s="345">
        <f t="shared" si="3"/>
        <v>13063.4448235</v>
      </c>
      <c r="H20" s="276">
        <v>0.56499999999999995</v>
      </c>
      <c r="I20" s="363">
        <v>0</v>
      </c>
      <c r="J20" s="344">
        <v>0</v>
      </c>
      <c r="K20" s="352">
        <v>3645890</v>
      </c>
      <c r="L20" s="348">
        <f t="shared" si="11"/>
        <v>5109</v>
      </c>
      <c r="M20" s="26"/>
      <c r="N20" s="26"/>
      <c r="O20" s="22"/>
      <c r="P20" s="22"/>
      <c r="Q20" s="21"/>
      <c r="R20" s="22"/>
      <c r="S20" s="21"/>
      <c r="T20" s="109">
        <v>0</v>
      </c>
      <c r="U20" s="109">
        <v>0</v>
      </c>
      <c r="V20" s="105">
        <f t="shared" si="14"/>
        <v>0</v>
      </c>
      <c r="W20" s="109">
        <v>0</v>
      </c>
      <c r="X20" s="103">
        <v>5109</v>
      </c>
      <c r="Y20" s="49">
        <f t="shared" si="4"/>
        <v>5109</v>
      </c>
      <c r="Z20" s="44">
        <v>0</v>
      </c>
      <c r="AA20" s="44">
        <v>0</v>
      </c>
      <c r="AB20" s="44">
        <v>0</v>
      </c>
      <c r="AC20" s="106">
        <v>7.9600000000000364</v>
      </c>
      <c r="AD20" s="244"/>
      <c r="AE20" s="243">
        <f t="shared" si="13"/>
        <v>0</v>
      </c>
      <c r="AF20" s="243"/>
      <c r="AG20" s="7">
        <v>0</v>
      </c>
      <c r="AH20" s="7">
        <f t="shared" si="7"/>
        <v>1191.2800000000002</v>
      </c>
      <c r="AI20" s="84">
        <v>612617</v>
      </c>
      <c r="AJ20" s="76">
        <f t="shared" si="5"/>
        <v>2550</v>
      </c>
      <c r="AK20" s="84">
        <v>80614</v>
      </c>
      <c r="AL20" s="76">
        <f t="shared" si="6"/>
        <v>167</v>
      </c>
      <c r="AM20" s="76">
        <v>11749</v>
      </c>
      <c r="AN20" s="76">
        <f t="shared" si="8"/>
        <v>48</v>
      </c>
      <c r="AO20" s="76">
        <v>85992</v>
      </c>
      <c r="AP20" s="227">
        <f t="shared" si="12"/>
        <v>0</v>
      </c>
      <c r="AQ20" s="76">
        <v>115817</v>
      </c>
      <c r="AR20" s="227">
        <f t="shared" si="9"/>
        <v>0</v>
      </c>
      <c r="AS20" s="49">
        <f t="shared" si="1"/>
        <v>0</v>
      </c>
      <c r="AT20" s="17">
        <v>2</v>
      </c>
      <c r="AV20" s="79"/>
      <c r="AW20" s="74"/>
      <c r="AX20" s="74"/>
    </row>
    <row r="21" spans="2:50" x14ac:dyDescent="0.25">
      <c r="B21" s="8">
        <f t="shared" si="10"/>
        <v>44910</v>
      </c>
      <c r="C21" s="42" t="str">
        <f t="shared" si="2"/>
        <v>Thu</v>
      </c>
      <c r="D21" s="289">
        <v>0.80029616999999997</v>
      </c>
      <c r="E21" s="289">
        <v>0.14300476000000001</v>
      </c>
      <c r="F21" s="289">
        <v>0.79006927000000005</v>
      </c>
      <c r="G21" s="345">
        <f t="shared" si="3"/>
        <v>14473.641170000001</v>
      </c>
      <c r="H21" s="277">
        <v>0.56399999999999995</v>
      </c>
      <c r="I21" s="363">
        <v>0</v>
      </c>
      <c r="J21" s="344">
        <v>0</v>
      </c>
      <c r="K21" s="351">
        <v>3651800</v>
      </c>
      <c r="L21" s="348">
        <f t="shared" si="11"/>
        <v>5910</v>
      </c>
      <c r="M21" s="26"/>
      <c r="N21" s="26"/>
      <c r="O21" s="22"/>
      <c r="P21" s="22"/>
      <c r="Q21" s="21"/>
      <c r="R21" s="22"/>
      <c r="S21" s="21"/>
      <c r="T21" s="109">
        <v>0</v>
      </c>
      <c r="U21" s="109">
        <v>0</v>
      </c>
      <c r="V21" s="105">
        <f t="shared" si="14"/>
        <v>0</v>
      </c>
      <c r="W21" s="109">
        <v>0</v>
      </c>
      <c r="X21" s="103">
        <v>5910</v>
      </c>
      <c r="Y21" s="49">
        <f t="shared" si="4"/>
        <v>5910</v>
      </c>
      <c r="Z21" s="44">
        <v>0</v>
      </c>
      <c r="AA21" s="44">
        <v>0</v>
      </c>
      <c r="AB21" s="44">
        <v>0</v>
      </c>
      <c r="AC21" s="106">
        <v>12.980000000000018</v>
      </c>
      <c r="AD21" s="244"/>
      <c r="AE21" s="243">
        <f t="shared" si="13"/>
        <v>0</v>
      </c>
      <c r="AF21" s="243"/>
      <c r="AG21" s="7">
        <v>0</v>
      </c>
      <c r="AH21" s="7">
        <f t="shared" si="7"/>
        <v>1191.2800000000002</v>
      </c>
      <c r="AI21" s="84">
        <v>615400</v>
      </c>
      <c r="AJ21" s="76">
        <f t="shared" si="5"/>
        <v>2783</v>
      </c>
      <c r="AK21" s="84">
        <v>80788</v>
      </c>
      <c r="AL21" s="76">
        <f t="shared" si="6"/>
        <v>174</v>
      </c>
      <c r="AM21" s="76">
        <v>11802</v>
      </c>
      <c r="AN21" s="76">
        <f t="shared" si="8"/>
        <v>53</v>
      </c>
      <c r="AO21" s="76">
        <v>85992</v>
      </c>
      <c r="AP21" s="227">
        <f t="shared" si="12"/>
        <v>0</v>
      </c>
      <c r="AQ21" s="76">
        <v>115817</v>
      </c>
      <c r="AR21" s="227">
        <f t="shared" si="9"/>
        <v>0</v>
      </c>
      <c r="AS21" s="49">
        <f t="shared" si="1"/>
        <v>0</v>
      </c>
      <c r="AT21" s="17">
        <v>2</v>
      </c>
      <c r="AW21" s="74"/>
      <c r="AX21" s="74"/>
    </row>
    <row r="22" spans="2:50" x14ac:dyDescent="0.25">
      <c r="B22" s="8">
        <f t="shared" si="10"/>
        <v>44911</v>
      </c>
      <c r="C22" s="42" t="str">
        <f t="shared" si="2"/>
        <v>Fri</v>
      </c>
      <c r="D22" s="289">
        <v>0.89727966000000003</v>
      </c>
      <c r="E22" s="289">
        <v>0.5070945</v>
      </c>
      <c r="F22" s="289">
        <v>0.71533524000000004</v>
      </c>
      <c r="G22" s="345">
        <f t="shared" si="3"/>
        <v>17699.573490000002</v>
      </c>
      <c r="H22" s="277">
        <v>0.56100000000000005</v>
      </c>
      <c r="I22" s="363">
        <v>0</v>
      </c>
      <c r="J22" s="344">
        <v>0</v>
      </c>
      <c r="K22" s="351">
        <v>3655444</v>
      </c>
      <c r="L22" s="348">
        <f t="shared" si="11"/>
        <v>3644</v>
      </c>
      <c r="M22" s="26"/>
      <c r="N22" s="26"/>
      <c r="O22" s="22"/>
      <c r="P22" s="22"/>
      <c r="Q22" s="21"/>
      <c r="R22" s="22"/>
      <c r="S22" s="21"/>
      <c r="T22" s="109">
        <v>0</v>
      </c>
      <c r="U22" s="109">
        <v>0</v>
      </c>
      <c r="V22" s="105">
        <f t="shared" si="14"/>
        <v>0</v>
      </c>
      <c r="W22" s="109">
        <v>0</v>
      </c>
      <c r="X22" s="103">
        <v>3644</v>
      </c>
      <c r="Y22" s="49">
        <f t="shared" si="4"/>
        <v>3644</v>
      </c>
      <c r="Z22" s="44">
        <v>0</v>
      </c>
      <c r="AA22" s="44">
        <v>0</v>
      </c>
      <c r="AB22" s="44">
        <v>0</v>
      </c>
      <c r="AC22" s="106">
        <v>8.2699999999999818</v>
      </c>
      <c r="AD22" s="244"/>
      <c r="AE22" s="243">
        <f t="shared" si="13"/>
        <v>0</v>
      </c>
      <c r="AF22" s="243"/>
      <c r="AG22" s="7">
        <v>0</v>
      </c>
      <c r="AH22" s="7">
        <f t="shared" si="7"/>
        <v>1191.2800000000002</v>
      </c>
      <c r="AI22" s="84">
        <v>618206</v>
      </c>
      <c r="AJ22" s="76">
        <f t="shared" si="5"/>
        <v>2806</v>
      </c>
      <c r="AK22" s="84">
        <v>80963</v>
      </c>
      <c r="AL22" s="76">
        <f t="shared" si="6"/>
        <v>175</v>
      </c>
      <c r="AM22" s="76">
        <v>11843</v>
      </c>
      <c r="AN22" s="76">
        <f t="shared" si="8"/>
        <v>41</v>
      </c>
      <c r="AO22" s="76">
        <v>85992</v>
      </c>
      <c r="AP22" s="227">
        <f t="shared" si="12"/>
        <v>0</v>
      </c>
      <c r="AQ22" s="76">
        <v>115817</v>
      </c>
      <c r="AR22" s="227">
        <f t="shared" si="9"/>
        <v>0</v>
      </c>
      <c r="AS22" s="49">
        <f t="shared" si="1"/>
        <v>0</v>
      </c>
      <c r="AT22" s="17">
        <v>2</v>
      </c>
      <c r="AW22" s="74"/>
      <c r="AX22" s="74"/>
    </row>
    <row r="23" spans="2:50" x14ac:dyDescent="0.25">
      <c r="B23" s="8">
        <f t="shared" si="10"/>
        <v>44912</v>
      </c>
      <c r="C23" s="42" t="str">
        <f t="shared" si="2"/>
        <v>Sat</v>
      </c>
      <c r="D23" s="289">
        <v>0.39416275000000001</v>
      </c>
      <c r="E23" s="289">
        <v>0.24753768999999998</v>
      </c>
      <c r="F23" s="289">
        <v>0.23182758000000001</v>
      </c>
      <c r="G23" s="345">
        <f t="shared" si="3"/>
        <v>7293.9589669999996</v>
      </c>
      <c r="H23" s="277">
        <v>0.56200000000000006</v>
      </c>
      <c r="I23" s="363">
        <v>0</v>
      </c>
      <c r="J23" s="344">
        <v>0</v>
      </c>
      <c r="K23" s="351">
        <f>3664481+4923</f>
        <v>3669404</v>
      </c>
      <c r="L23" s="348">
        <f t="shared" si="11"/>
        <v>13960</v>
      </c>
      <c r="M23" s="26"/>
      <c r="N23" s="26"/>
      <c r="O23" s="22"/>
      <c r="P23" s="22"/>
      <c r="Q23" s="21"/>
      <c r="R23" s="22"/>
      <c r="S23" s="21"/>
      <c r="T23" s="109">
        <v>0</v>
      </c>
      <c r="U23" s="109">
        <v>0</v>
      </c>
      <c r="V23" s="105">
        <f t="shared" si="14"/>
        <v>0</v>
      </c>
      <c r="W23" s="109">
        <v>0</v>
      </c>
      <c r="X23" s="103">
        <v>13960</v>
      </c>
      <c r="Y23" s="49">
        <f t="shared" si="4"/>
        <v>13960</v>
      </c>
      <c r="Z23" s="44">
        <v>0</v>
      </c>
      <c r="AA23" s="44">
        <v>0</v>
      </c>
      <c r="AB23" s="44">
        <v>0</v>
      </c>
      <c r="AC23" s="106">
        <v>15.5</v>
      </c>
      <c r="AD23" s="244"/>
      <c r="AE23" s="243">
        <f t="shared" si="13"/>
        <v>0</v>
      </c>
      <c r="AF23" s="243"/>
      <c r="AG23" s="7">
        <v>0</v>
      </c>
      <c r="AH23" s="7">
        <f t="shared" si="7"/>
        <v>1191.2800000000002</v>
      </c>
      <c r="AI23" s="84">
        <v>620480</v>
      </c>
      <c r="AJ23" s="76">
        <f t="shared" si="5"/>
        <v>2274</v>
      </c>
      <c r="AK23" s="84">
        <v>81092</v>
      </c>
      <c r="AL23" s="76">
        <f t="shared" ref="AL23:AL37" si="15">AK23-AK22</f>
        <v>129</v>
      </c>
      <c r="AM23" s="76">
        <v>11877</v>
      </c>
      <c r="AN23" s="76">
        <f t="shared" si="8"/>
        <v>34</v>
      </c>
      <c r="AO23" s="76">
        <v>85992</v>
      </c>
      <c r="AP23" s="227">
        <f t="shared" si="12"/>
        <v>0</v>
      </c>
      <c r="AQ23" s="76">
        <v>115817</v>
      </c>
      <c r="AR23" s="227">
        <f t="shared" si="9"/>
        <v>0</v>
      </c>
      <c r="AS23" s="49">
        <f t="shared" si="1"/>
        <v>0</v>
      </c>
      <c r="AT23" s="17">
        <v>2</v>
      </c>
    </row>
    <row r="24" spans="2:50" x14ac:dyDescent="0.25">
      <c r="B24" s="8">
        <f t="shared" si="10"/>
        <v>44913</v>
      </c>
      <c r="C24" s="42" t="str">
        <f t="shared" si="2"/>
        <v>Sun</v>
      </c>
      <c r="D24" s="289">
        <v>0.89113540999999996</v>
      </c>
      <c r="E24" s="289">
        <v>0.68918983</v>
      </c>
      <c r="F24" s="289">
        <v>0.13019352000000001</v>
      </c>
      <c r="G24" s="345">
        <f t="shared" si="3"/>
        <v>14282.831645999999</v>
      </c>
      <c r="H24" s="278">
        <v>0.56399999999999995</v>
      </c>
      <c r="I24" s="363">
        <v>0</v>
      </c>
      <c r="J24" s="344">
        <v>0</v>
      </c>
      <c r="K24" s="351">
        <v>4696106</v>
      </c>
      <c r="L24" s="348">
        <f t="shared" si="11"/>
        <v>1026702</v>
      </c>
      <c r="M24" s="26"/>
      <c r="N24" s="26"/>
      <c r="O24" s="22"/>
      <c r="P24" s="22"/>
      <c r="Q24" s="21"/>
      <c r="R24" s="22"/>
      <c r="S24" s="21"/>
      <c r="T24" s="109">
        <v>0</v>
      </c>
      <c r="U24" s="109">
        <v>0</v>
      </c>
      <c r="V24" s="105">
        <f t="shared" si="14"/>
        <v>0</v>
      </c>
      <c r="W24" s="109">
        <v>0</v>
      </c>
      <c r="X24" s="103">
        <v>4513</v>
      </c>
      <c r="Y24" s="49">
        <f t="shared" si="4"/>
        <v>4513</v>
      </c>
      <c r="Z24" s="44">
        <v>0</v>
      </c>
      <c r="AA24" s="44">
        <v>0</v>
      </c>
      <c r="AB24" s="44">
        <v>0</v>
      </c>
      <c r="AC24" s="106">
        <v>8.2999999999997272</v>
      </c>
      <c r="AD24" s="244"/>
      <c r="AE24" s="243">
        <f t="shared" si="13"/>
        <v>0</v>
      </c>
      <c r="AF24" s="243"/>
      <c r="AG24" s="7">
        <v>0</v>
      </c>
      <c r="AH24" s="7">
        <f t="shared" si="7"/>
        <v>1191.2800000000002</v>
      </c>
      <c r="AI24" s="84">
        <v>623511</v>
      </c>
      <c r="AJ24" s="76">
        <f t="shared" si="5"/>
        <v>3031</v>
      </c>
      <c r="AK24" s="84">
        <v>81235</v>
      </c>
      <c r="AL24" s="76">
        <f t="shared" si="15"/>
        <v>143</v>
      </c>
      <c r="AM24" s="76">
        <v>11926</v>
      </c>
      <c r="AN24" s="76">
        <f t="shared" si="8"/>
        <v>49</v>
      </c>
      <c r="AO24" s="76">
        <v>85992</v>
      </c>
      <c r="AP24" s="227">
        <f t="shared" si="12"/>
        <v>0</v>
      </c>
      <c r="AQ24" s="76">
        <v>115817</v>
      </c>
      <c r="AR24" s="227">
        <f t="shared" si="9"/>
        <v>0</v>
      </c>
      <c r="AS24" s="49">
        <f t="shared" si="1"/>
        <v>0</v>
      </c>
      <c r="AT24" s="17" t="s">
        <v>54</v>
      </c>
      <c r="AV24" s="74"/>
    </row>
    <row r="25" spans="2:50" x14ac:dyDescent="0.25">
      <c r="B25" s="8">
        <f t="shared" si="10"/>
        <v>44914</v>
      </c>
      <c r="C25" s="42" t="str">
        <f t="shared" si="2"/>
        <v>Mon</v>
      </c>
      <c r="D25" s="289">
        <v>0.93295410000000001</v>
      </c>
      <c r="E25" s="289">
        <v>0.8901847100000001</v>
      </c>
      <c r="F25" s="289">
        <v>0.13814686000000001</v>
      </c>
      <c r="G25" s="345">
        <f t="shared" si="3"/>
        <v>16376.735344500001</v>
      </c>
      <c r="H25" s="278">
        <v>0.56200000000000006</v>
      </c>
      <c r="I25" s="363">
        <v>1203</v>
      </c>
      <c r="J25" s="344">
        <f>I25-I24</f>
        <v>1203</v>
      </c>
      <c r="K25" s="351">
        <v>4710446</v>
      </c>
      <c r="L25" s="348">
        <f t="shared" si="11"/>
        <v>14340</v>
      </c>
      <c r="M25" s="26"/>
      <c r="N25" s="26"/>
      <c r="O25" s="22"/>
      <c r="P25" s="22"/>
      <c r="Q25" s="21"/>
      <c r="R25" s="22"/>
      <c r="S25" s="21"/>
      <c r="T25" s="109">
        <v>0</v>
      </c>
      <c r="U25" s="109">
        <v>0</v>
      </c>
      <c r="V25" s="105">
        <f t="shared" si="14"/>
        <v>0</v>
      </c>
      <c r="W25" s="109">
        <v>0</v>
      </c>
      <c r="X25" s="103">
        <v>5145</v>
      </c>
      <c r="Y25" s="49">
        <f t="shared" si="4"/>
        <v>5145</v>
      </c>
      <c r="Z25" s="44">
        <v>0</v>
      </c>
      <c r="AA25" s="44">
        <v>0</v>
      </c>
      <c r="AB25" s="44">
        <v>0</v>
      </c>
      <c r="AC25" s="106"/>
      <c r="AD25" s="244"/>
      <c r="AE25" s="243">
        <f>AD25+AE24</f>
        <v>0</v>
      </c>
      <c r="AF25" s="243">
        <v>15</v>
      </c>
      <c r="AG25" s="335">
        <v>114.17</v>
      </c>
      <c r="AH25" s="7">
        <f t="shared" si="7"/>
        <v>1305.4500000000003</v>
      </c>
      <c r="AI25" s="84">
        <v>625536</v>
      </c>
      <c r="AJ25" s="76">
        <f t="shared" si="5"/>
        <v>2025</v>
      </c>
      <c r="AK25" s="84">
        <v>81503</v>
      </c>
      <c r="AL25" s="76">
        <f t="shared" si="15"/>
        <v>268</v>
      </c>
      <c r="AM25" s="76">
        <v>11960</v>
      </c>
      <c r="AN25" s="76">
        <f t="shared" si="8"/>
        <v>34</v>
      </c>
      <c r="AO25" s="76">
        <v>85992</v>
      </c>
      <c r="AP25" s="227">
        <f t="shared" si="12"/>
        <v>0</v>
      </c>
      <c r="AQ25" s="76">
        <v>115817</v>
      </c>
      <c r="AR25" s="227">
        <f t="shared" si="9"/>
        <v>0</v>
      </c>
      <c r="AS25" s="49">
        <f t="shared" si="1"/>
        <v>0</v>
      </c>
      <c r="AT25" s="17">
        <v>2</v>
      </c>
      <c r="AV25" s="74"/>
    </row>
    <row r="26" spans="2:50" x14ac:dyDescent="0.25">
      <c r="B26" s="8">
        <f t="shared" si="10"/>
        <v>44915</v>
      </c>
      <c r="C26" s="42" t="str">
        <f t="shared" si="2"/>
        <v>Tue</v>
      </c>
      <c r="D26" s="289">
        <v>0.86591309000000005</v>
      </c>
      <c r="E26" s="289">
        <v>0.90468132000000001</v>
      </c>
      <c r="F26" s="289">
        <v>0.13394417</v>
      </c>
      <c r="G26" s="345">
        <f t="shared" si="3"/>
        <v>15902.897143</v>
      </c>
      <c r="H26" s="278">
        <v>0.55800000000000005</v>
      </c>
      <c r="I26" s="363">
        <v>1227</v>
      </c>
      <c r="J26" s="344">
        <f>I26-I25</f>
        <v>24</v>
      </c>
      <c r="K26" s="351">
        <v>3686916</v>
      </c>
      <c r="L26" s="348">
        <f t="shared" si="11"/>
        <v>-1023530</v>
      </c>
      <c r="M26" s="26"/>
      <c r="N26" s="26"/>
      <c r="O26" s="22"/>
      <c r="P26" s="22"/>
      <c r="Q26" s="21"/>
      <c r="R26" s="22"/>
      <c r="S26" s="21"/>
      <c r="T26" s="109">
        <v>0</v>
      </c>
      <c r="U26" s="109">
        <v>0</v>
      </c>
      <c r="V26" s="105">
        <f t="shared" si="14"/>
        <v>0</v>
      </c>
      <c r="W26" s="109">
        <v>0</v>
      </c>
      <c r="X26" s="103">
        <v>7854</v>
      </c>
      <c r="Y26" s="49">
        <f t="shared" si="4"/>
        <v>7854</v>
      </c>
      <c r="Z26" s="44">
        <v>0</v>
      </c>
      <c r="AA26" s="44">
        <v>0</v>
      </c>
      <c r="AB26" s="44">
        <v>0</v>
      </c>
      <c r="AC26" s="106"/>
      <c r="AD26" s="244"/>
      <c r="AE26" s="243">
        <f>AD26+AE25</f>
        <v>0</v>
      </c>
      <c r="AF26" s="243">
        <v>14.8</v>
      </c>
      <c r="AG26" s="336">
        <v>151.84</v>
      </c>
      <c r="AH26" s="7">
        <f t="shared" si="7"/>
        <v>1457.2900000000002</v>
      </c>
      <c r="AI26" s="84">
        <v>628886</v>
      </c>
      <c r="AJ26" s="76">
        <f t="shared" si="5"/>
        <v>3350</v>
      </c>
      <c r="AK26" s="84">
        <v>81706</v>
      </c>
      <c r="AL26" s="76">
        <f t="shared" si="15"/>
        <v>203</v>
      </c>
      <c r="AM26" s="76">
        <v>11998</v>
      </c>
      <c r="AN26" s="76">
        <f t="shared" si="8"/>
        <v>38</v>
      </c>
      <c r="AO26" s="76">
        <v>85992</v>
      </c>
      <c r="AP26" s="227">
        <f t="shared" si="12"/>
        <v>0</v>
      </c>
      <c r="AQ26" s="76">
        <v>115817</v>
      </c>
      <c r="AR26" s="227">
        <f t="shared" si="9"/>
        <v>0</v>
      </c>
      <c r="AS26" s="49">
        <f t="shared" si="1"/>
        <v>0</v>
      </c>
      <c r="AT26" s="17">
        <v>2</v>
      </c>
      <c r="AV26" s="74"/>
    </row>
    <row r="27" spans="2:50" x14ac:dyDescent="0.25">
      <c r="B27" s="8">
        <f t="shared" si="10"/>
        <v>44916</v>
      </c>
      <c r="C27" s="42" t="str">
        <f t="shared" si="2"/>
        <v>Wed</v>
      </c>
      <c r="D27" s="289">
        <v>0.82670761000000004</v>
      </c>
      <c r="E27" s="289">
        <v>0.56389069000000003</v>
      </c>
      <c r="F27" s="289">
        <v>0.13549332</v>
      </c>
      <c r="G27" s="345">
        <f t="shared" si="3"/>
        <v>12742.865027</v>
      </c>
      <c r="H27" s="278">
        <v>0.55700000000000005</v>
      </c>
      <c r="I27" s="363">
        <v>1227</v>
      </c>
      <c r="J27" s="344">
        <f>I27-I26</f>
        <v>0</v>
      </c>
      <c r="K27" s="351">
        <v>3702266</v>
      </c>
      <c r="L27" s="348">
        <f t="shared" si="11"/>
        <v>15350</v>
      </c>
      <c r="M27" s="26"/>
      <c r="N27" s="26"/>
      <c r="O27" s="22"/>
      <c r="P27" s="22"/>
      <c r="Q27" s="21"/>
      <c r="R27" s="22"/>
      <c r="S27" s="21"/>
      <c r="T27" s="109">
        <v>0</v>
      </c>
      <c r="U27" s="109">
        <v>0</v>
      </c>
      <c r="V27" s="107">
        <f t="shared" si="14"/>
        <v>0</v>
      </c>
      <c r="W27" s="109">
        <v>0</v>
      </c>
      <c r="X27" s="103">
        <v>15350</v>
      </c>
      <c r="Y27" s="49">
        <f t="shared" si="4"/>
        <v>15350</v>
      </c>
      <c r="Z27" s="44">
        <v>0</v>
      </c>
      <c r="AA27" s="44">
        <v>0</v>
      </c>
      <c r="AB27" s="44">
        <v>0</v>
      </c>
      <c r="AC27" s="106"/>
      <c r="AD27" s="244"/>
      <c r="AE27" s="243">
        <f t="shared" si="13"/>
        <v>0</v>
      </c>
      <c r="AF27" s="243">
        <v>14.9</v>
      </c>
      <c r="AG27" s="136">
        <v>112.03</v>
      </c>
      <c r="AH27" s="7">
        <f t="shared" si="7"/>
        <v>1569.3200000000002</v>
      </c>
      <c r="AI27" s="84">
        <v>632595</v>
      </c>
      <c r="AJ27" s="76">
        <f t="shared" si="5"/>
        <v>3709</v>
      </c>
      <c r="AK27" s="84">
        <v>81956</v>
      </c>
      <c r="AL27" s="76">
        <f t="shared" si="15"/>
        <v>250</v>
      </c>
      <c r="AM27" s="76">
        <v>12033</v>
      </c>
      <c r="AN27" s="76">
        <f t="shared" si="8"/>
        <v>35</v>
      </c>
      <c r="AO27" s="76">
        <v>85992</v>
      </c>
      <c r="AP27" s="227">
        <f t="shared" si="12"/>
        <v>0</v>
      </c>
      <c r="AQ27" s="76">
        <v>115817</v>
      </c>
      <c r="AR27" s="227">
        <f t="shared" si="9"/>
        <v>0</v>
      </c>
      <c r="AS27" s="49">
        <f t="shared" si="1"/>
        <v>0</v>
      </c>
      <c r="AT27" s="17">
        <v>2</v>
      </c>
      <c r="AV27" s="74"/>
    </row>
    <row r="28" spans="2:50" ht="15" x14ac:dyDescent="0.25">
      <c r="B28" s="8">
        <f t="shared" si="10"/>
        <v>44917</v>
      </c>
      <c r="C28" s="42" t="str">
        <f t="shared" si="2"/>
        <v>Thu</v>
      </c>
      <c r="D28" s="289">
        <v>0.76725371999999992</v>
      </c>
      <c r="E28" s="289">
        <v>0.55993285999999998</v>
      </c>
      <c r="F28" s="289">
        <v>0.13903370000000001</v>
      </c>
      <c r="G28" s="345">
        <f t="shared" si="3"/>
        <v>12242.939338</v>
      </c>
      <c r="H28" s="278">
        <v>0.55700000000000005</v>
      </c>
      <c r="I28" s="363">
        <v>1227</v>
      </c>
      <c r="J28" s="344">
        <f t="shared" ref="J28:J37" si="16">I28-I27</f>
        <v>0</v>
      </c>
      <c r="K28" s="351">
        <v>3713308</v>
      </c>
      <c r="L28" s="348">
        <f t="shared" si="11"/>
        <v>11042</v>
      </c>
      <c r="M28" s="26"/>
      <c r="N28" s="26"/>
      <c r="O28" s="22"/>
      <c r="P28" s="22"/>
      <c r="Q28" s="21"/>
      <c r="R28" s="22"/>
      <c r="S28" s="21"/>
      <c r="T28" s="109">
        <v>0</v>
      </c>
      <c r="U28" s="109">
        <v>0</v>
      </c>
      <c r="V28" s="107">
        <f t="shared" si="14"/>
        <v>0</v>
      </c>
      <c r="W28" s="109">
        <v>0</v>
      </c>
      <c r="X28" s="103">
        <v>11042</v>
      </c>
      <c r="Y28" s="49">
        <f t="shared" si="4"/>
        <v>11042</v>
      </c>
      <c r="Z28" s="44">
        <v>0</v>
      </c>
      <c r="AA28" s="44">
        <v>0</v>
      </c>
      <c r="AB28" s="44">
        <v>0</v>
      </c>
      <c r="AC28" s="106"/>
      <c r="AD28" s="246"/>
      <c r="AE28" s="243">
        <f t="shared" si="13"/>
        <v>0</v>
      </c>
      <c r="AF28" s="243">
        <v>14.28</v>
      </c>
      <c r="AG28" s="136">
        <v>187.2</v>
      </c>
      <c r="AH28" s="7">
        <f t="shared" si="7"/>
        <v>1756.5200000000002</v>
      </c>
      <c r="AI28" s="84">
        <v>635959</v>
      </c>
      <c r="AJ28" s="76">
        <f t="shared" si="5"/>
        <v>3364</v>
      </c>
      <c r="AK28" s="84">
        <v>82156</v>
      </c>
      <c r="AL28" s="76">
        <f t="shared" si="15"/>
        <v>200</v>
      </c>
      <c r="AM28" s="76">
        <v>12083</v>
      </c>
      <c r="AN28" s="76">
        <f t="shared" si="8"/>
        <v>50</v>
      </c>
      <c r="AO28" s="76">
        <v>85992</v>
      </c>
      <c r="AP28" s="227">
        <f t="shared" si="12"/>
        <v>0</v>
      </c>
      <c r="AQ28" s="76">
        <v>115817</v>
      </c>
      <c r="AR28" s="227">
        <f t="shared" si="9"/>
        <v>0</v>
      </c>
      <c r="AS28" s="49">
        <f t="shared" si="1"/>
        <v>0</v>
      </c>
      <c r="AT28" s="17">
        <v>2</v>
      </c>
      <c r="AV28" s="74"/>
    </row>
    <row r="29" spans="2:50" x14ac:dyDescent="0.25">
      <c r="B29" s="8">
        <f t="shared" si="10"/>
        <v>44918</v>
      </c>
      <c r="C29" s="42" t="str">
        <f t="shared" si="2"/>
        <v>Fri</v>
      </c>
      <c r="D29" s="289">
        <v>0.17624977</v>
      </c>
      <c r="E29" s="289">
        <v>0.25366493000000001</v>
      </c>
      <c r="F29" s="289">
        <v>0.14095199999999999</v>
      </c>
      <c r="G29" s="345">
        <f t="shared" si="3"/>
        <v>4766.7369449999997</v>
      </c>
      <c r="H29" s="278">
        <v>0.55800000000000005</v>
      </c>
      <c r="I29" s="363">
        <v>1227</v>
      </c>
      <c r="J29" s="344">
        <f t="shared" si="16"/>
        <v>0</v>
      </c>
      <c r="K29" s="351">
        <v>3730340</v>
      </c>
      <c r="L29" s="348">
        <f t="shared" si="11"/>
        <v>17032</v>
      </c>
      <c r="M29" s="26"/>
      <c r="N29" s="26"/>
      <c r="O29" s="22"/>
      <c r="P29" s="22"/>
      <c r="Q29" s="21"/>
      <c r="R29" s="22"/>
      <c r="S29" s="21"/>
      <c r="T29" s="109">
        <v>0</v>
      </c>
      <c r="U29" s="109">
        <v>0</v>
      </c>
      <c r="V29" s="107">
        <f t="shared" si="14"/>
        <v>0</v>
      </c>
      <c r="W29" s="109">
        <v>0</v>
      </c>
      <c r="X29" s="103">
        <v>17032</v>
      </c>
      <c r="Y29" s="49">
        <f t="shared" si="4"/>
        <v>17032</v>
      </c>
      <c r="Z29" s="44">
        <v>0</v>
      </c>
      <c r="AA29" s="44">
        <v>0</v>
      </c>
      <c r="AB29" s="44">
        <v>0</v>
      </c>
      <c r="AC29" s="106"/>
      <c r="AD29" s="244"/>
      <c r="AE29" s="243">
        <f t="shared" si="13"/>
        <v>0</v>
      </c>
      <c r="AF29" s="243">
        <v>15.18</v>
      </c>
      <c r="AG29" s="136">
        <v>104.13</v>
      </c>
      <c r="AH29" s="7">
        <f t="shared" si="7"/>
        <v>1860.65</v>
      </c>
      <c r="AI29" s="84">
        <v>639389</v>
      </c>
      <c r="AJ29" s="76">
        <f t="shared" si="5"/>
        <v>3430</v>
      </c>
      <c r="AK29" s="84">
        <v>82316</v>
      </c>
      <c r="AL29" s="76">
        <f t="shared" si="15"/>
        <v>160</v>
      </c>
      <c r="AM29" s="76">
        <v>12121</v>
      </c>
      <c r="AN29" s="76">
        <f t="shared" si="8"/>
        <v>38</v>
      </c>
      <c r="AO29" s="76">
        <v>85992</v>
      </c>
      <c r="AP29" s="227">
        <f t="shared" si="12"/>
        <v>0</v>
      </c>
      <c r="AQ29" s="76">
        <v>115817</v>
      </c>
      <c r="AR29" s="227">
        <f t="shared" si="9"/>
        <v>0</v>
      </c>
      <c r="AS29" s="49">
        <f t="shared" si="1"/>
        <v>0</v>
      </c>
      <c r="AT29" s="17">
        <v>2</v>
      </c>
      <c r="AV29" s="74"/>
    </row>
    <row r="30" spans="2:50" x14ac:dyDescent="0.25">
      <c r="B30" s="8">
        <f t="shared" si="10"/>
        <v>44919</v>
      </c>
      <c r="C30" s="42" t="str">
        <f t="shared" si="2"/>
        <v>Sat</v>
      </c>
      <c r="D30" s="289">
        <v>0.88581191999999997</v>
      </c>
      <c r="E30" s="289">
        <v>0.45003356999999999</v>
      </c>
      <c r="F30" s="289">
        <v>0.13848395999999999</v>
      </c>
      <c r="G30" s="345">
        <f t="shared" si="3"/>
        <v>12310.650907499999</v>
      </c>
      <c r="H30" s="278">
        <v>0.56299999999999994</v>
      </c>
      <c r="I30" s="363">
        <v>1227</v>
      </c>
      <c r="J30" s="344">
        <f t="shared" si="16"/>
        <v>0</v>
      </c>
      <c r="K30" s="353">
        <v>4774205</v>
      </c>
      <c r="L30" s="348">
        <f t="shared" si="11"/>
        <v>1043865</v>
      </c>
      <c r="M30" s="26"/>
      <c r="N30" s="26"/>
      <c r="O30" s="22"/>
      <c r="P30" s="22"/>
      <c r="Q30" s="21"/>
      <c r="R30" s="22"/>
      <c r="S30" s="21"/>
      <c r="T30" s="109">
        <v>0</v>
      </c>
      <c r="U30" s="109">
        <v>0</v>
      </c>
      <c r="V30" s="107">
        <f t="shared" si="14"/>
        <v>0</v>
      </c>
      <c r="W30" s="109">
        <v>0</v>
      </c>
      <c r="X30" s="103">
        <v>5097</v>
      </c>
      <c r="Y30" s="49">
        <f t="shared" si="4"/>
        <v>5097</v>
      </c>
      <c r="Z30" s="44">
        <v>0</v>
      </c>
      <c r="AA30" s="44">
        <v>0</v>
      </c>
      <c r="AB30" s="44">
        <v>0</v>
      </c>
      <c r="AC30" s="106"/>
      <c r="AD30" s="244"/>
      <c r="AE30" s="243">
        <f t="shared" si="13"/>
        <v>0</v>
      </c>
      <c r="AF30" s="243"/>
      <c r="AG30" s="7">
        <v>0</v>
      </c>
      <c r="AH30" s="7">
        <f t="shared" si="7"/>
        <v>1860.65</v>
      </c>
      <c r="AI30" s="84">
        <v>642599</v>
      </c>
      <c r="AJ30" s="76">
        <f t="shared" si="5"/>
        <v>3210</v>
      </c>
      <c r="AK30" s="84">
        <v>82386</v>
      </c>
      <c r="AL30" s="76">
        <f t="shared" si="15"/>
        <v>70</v>
      </c>
      <c r="AM30" s="76">
        <v>12162</v>
      </c>
      <c r="AN30" s="76">
        <f t="shared" si="8"/>
        <v>41</v>
      </c>
      <c r="AO30" s="76">
        <v>85992</v>
      </c>
      <c r="AP30" s="227">
        <f t="shared" si="12"/>
        <v>0</v>
      </c>
      <c r="AQ30" s="76">
        <v>115817</v>
      </c>
      <c r="AR30" s="227">
        <f t="shared" si="9"/>
        <v>0</v>
      </c>
      <c r="AS30" s="49">
        <f t="shared" si="1"/>
        <v>0</v>
      </c>
      <c r="AT30" s="17" t="s">
        <v>54</v>
      </c>
    </row>
    <row r="31" spans="2:50" x14ac:dyDescent="0.25">
      <c r="B31" s="8">
        <f t="shared" si="10"/>
        <v>44920</v>
      </c>
      <c r="C31" s="42" t="str">
        <f t="shared" si="2"/>
        <v>Sun</v>
      </c>
      <c r="D31" s="289">
        <v>0.93780975</v>
      </c>
      <c r="E31" s="289">
        <v>0.87993522999999996</v>
      </c>
      <c r="F31" s="289">
        <v>0.71024094000000004</v>
      </c>
      <c r="G31" s="345">
        <f t="shared" si="3"/>
        <v>21108.682432000001</v>
      </c>
      <c r="H31" s="279">
        <v>0.56399999999999995</v>
      </c>
      <c r="I31" s="363">
        <v>1227</v>
      </c>
      <c r="J31" s="344">
        <f t="shared" si="16"/>
        <v>0</v>
      </c>
      <c r="K31" s="353">
        <v>4787692</v>
      </c>
      <c r="L31" s="348">
        <f t="shared" si="11"/>
        <v>13487</v>
      </c>
      <c r="M31" s="26">
        <v>0.22222222222222221</v>
      </c>
      <c r="N31" s="26">
        <v>0</v>
      </c>
      <c r="O31" s="22">
        <v>14002.500000000002</v>
      </c>
      <c r="P31" s="22"/>
      <c r="Q31" s="21"/>
      <c r="R31" s="22"/>
      <c r="S31" s="21"/>
      <c r="T31" s="109">
        <v>0</v>
      </c>
      <c r="U31" s="109">
        <v>0</v>
      </c>
      <c r="V31" s="107">
        <f t="shared" si="14"/>
        <v>0</v>
      </c>
      <c r="W31" s="109">
        <v>0</v>
      </c>
      <c r="X31" s="103">
        <v>0</v>
      </c>
      <c r="Y31" s="49">
        <f t="shared" si="4"/>
        <v>0</v>
      </c>
      <c r="Z31" s="44">
        <v>0</v>
      </c>
      <c r="AA31" s="44">
        <v>0</v>
      </c>
      <c r="AB31" s="44">
        <v>0</v>
      </c>
      <c r="AC31" s="106"/>
      <c r="AD31" s="247"/>
      <c r="AE31" s="243">
        <f t="shared" si="13"/>
        <v>0</v>
      </c>
      <c r="AF31" s="243"/>
      <c r="AG31" s="7">
        <v>0</v>
      </c>
      <c r="AH31" s="7">
        <f t="shared" si="7"/>
        <v>1860.65</v>
      </c>
      <c r="AI31" s="84">
        <v>645809</v>
      </c>
      <c r="AJ31" s="76">
        <f t="shared" si="5"/>
        <v>3210</v>
      </c>
      <c r="AK31" s="84">
        <v>82614</v>
      </c>
      <c r="AL31" s="76">
        <f t="shared" si="15"/>
        <v>228</v>
      </c>
      <c r="AM31" s="76">
        <v>12204</v>
      </c>
      <c r="AN31" s="76">
        <f t="shared" si="8"/>
        <v>42</v>
      </c>
      <c r="AO31" s="76">
        <v>85992</v>
      </c>
      <c r="AP31" s="227">
        <f t="shared" si="12"/>
        <v>0</v>
      </c>
      <c r="AQ31" s="76">
        <v>115817</v>
      </c>
      <c r="AR31" s="227">
        <f t="shared" si="9"/>
        <v>0</v>
      </c>
      <c r="AS31" s="49">
        <f t="shared" si="1"/>
        <v>0</v>
      </c>
      <c r="AT31" s="17" t="s">
        <v>54</v>
      </c>
    </row>
    <row r="32" spans="2:50" x14ac:dyDescent="0.25">
      <c r="B32" s="8">
        <f t="shared" si="10"/>
        <v>44921</v>
      </c>
      <c r="C32" s="42" t="str">
        <f t="shared" si="2"/>
        <v>Mon</v>
      </c>
      <c r="D32" s="289">
        <v>0.68666779</v>
      </c>
      <c r="E32" s="289">
        <v>0.73829482999999996</v>
      </c>
      <c r="F32" s="289">
        <v>0.63206501000000004</v>
      </c>
      <c r="G32" s="345">
        <f t="shared" si="3"/>
        <v>17176.180710500001</v>
      </c>
      <c r="H32" s="279">
        <v>0.56100000000000005</v>
      </c>
      <c r="I32" s="363">
        <v>1227</v>
      </c>
      <c r="J32" s="344">
        <f t="shared" si="16"/>
        <v>0</v>
      </c>
      <c r="K32" s="354">
        <v>4798115</v>
      </c>
      <c r="L32" s="348">
        <f t="shared" si="11"/>
        <v>10423</v>
      </c>
      <c r="M32" s="26">
        <v>0</v>
      </c>
      <c r="N32" s="26">
        <v>0.41666666666666669</v>
      </c>
      <c r="O32" s="22">
        <v>4781.4999999999982</v>
      </c>
      <c r="P32" s="22"/>
      <c r="Q32" s="21"/>
      <c r="R32" s="22"/>
      <c r="S32" s="21"/>
      <c r="T32" s="109">
        <v>0</v>
      </c>
      <c r="U32" s="109">
        <v>0</v>
      </c>
      <c r="V32" s="107">
        <f t="shared" si="14"/>
        <v>0</v>
      </c>
      <c r="W32" s="109">
        <v>702</v>
      </c>
      <c r="X32" s="103">
        <v>13855</v>
      </c>
      <c r="Y32" s="49">
        <f t="shared" si="4"/>
        <v>14557</v>
      </c>
      <c r="Z32" s="44">
        <v>0</v>
      </c>
      <c r="AA32" s="44">
        <v>0</v>
      </c>
      <c r="AB32" s="44">
        <v>0</v>
      </c>
      <c r="AC32" s="106"/>
      <c r="AD32" s="247"/>
      <c r="AE32" s="243">
        <f t="shared" si="13"/>
        <v>0</v>
      </c>
      <c r="AF32" s="243">
        <v>13.7</v>
      </c>
      <c r="AG32" s="7">
        <v>65.12</v>
      </c>
      <c r="AH32" s="7">
        <f t="shared" si="7"/>
        <v>1925.77</v>
      </c>
      <c r="AI32" s="84">
        <v>647394</v>
      </c>
      <c r="AJ32" s="76">
        <f t="shared" si="5"/>
        <v>1585</v>
      </c>
      <c r="AK32" s="84">
        <v>82614</v>
      </c>
      <c r="AL32" s="76">
        <f t="shared" si="15"/>
        <v>0</v>
      </c>
      <c r="AM32" s="76">
        <v>12253</v>
      </c>
      <c r="AN32" s="76">
        <f t="shared" si="8"/>
        <v>49</v>
      </c>
      <c r="AO32" s="76">
        <v>85992</v>
      </c>
      <c r="AP32" s="227">
        <f t="shared" si="12"/>
        <v>0</v>
      </c>
      <c r="AQ32" s="76">
        <v>115817</v>
      </c>
      <c r="AR32" s="227">
        <f t="shared" si="9"/>
        <v>0</v>
      </c>
      <c r="AS32" s="49">
        <f t="shared" si="1"/>
        <v>0</v>
      </c>
      <c r="AT32" s="17">
        <v>1</v>
      </c>
    </row>
    <row r="33" spans="2:46" x14ac:dyDescent="0.25">
      <c r="B33" s="8">
        <f t="shared" si="10"/>
        <v>44922</v>
      </c>
      <c r="C33" s="42" t="str">
        <f t="shared" si="2"/>
        <v>Tue</v>
      </c>
      <c r="D33" s="289">
        <v>0.71745148000000003</v>
      </c>
      <c r="E33" s="289">
        <v>0.48808219999999997</v>
      </c>
      <c r="F33" s="289">
        <v>0.50620235000000002</v>
      </c>
      <c r="G33" s="345">
        <f t="shared" si="3"/>
        <v>14292.9958505</v>
      </c>
      <c r="H33" s="279">
        <v>0.56100000000000005</v>
      </c>
      <c r="I33" s="363">
        <v>1227</v>
      </c>
      <c r="J33" s="344">
        <f t="shared" si="16"/>
        <v>0</v>
      </c>
      <c r="K33" s="354">
        <v>4815016</v>
      </c>
      <c r="L33" s="348">
        <f>K33-K32</f>
        <v>16901</v>
      </c>
      <c r="M33" s="26"/>
      <c r="N33" s="26"/>
      <c r="O33" s="22"/>
      <c r="P33" s="22"/>
      <c r="Q33" s="21"/>
      <c r="R33" s="22"/>
      <c r="S33" s="21"/>
      <c r="T33" s="109">
        <v>0</v>
      </c>
      <c r="U33" s="109">
        <v>0</v>
      </c>
      <c r="V33" s="107">
        <f t="shared" si="14"/>
        <v>0</v>
      </c>
      <c r="W33" s="109">
        <v>0</v>
      </c>
      <c r="X33" s="103">
        <v>12555</v>
      </c>
      <c r="Y33" s="49">
        <f t="shared" si="4"/>
        <v>12555</v>
      </c>
      <c r="Z33" s="44">
        <v>0</v>
      </c>
      <c r="AA33" s="44">
        <v>0</v>
      </c>
      <c r="AB33" s="44">
        <v>0</v>
      </c>
      <c r="AC33" s="106"/>
      <c r="AD33" s="247"/>
      <c r="AE33" s="243">
        <f>AD33+AE32</f>
        <v>0</v>
      </c>
      <c r="AF33" s="243">
        <v>14.52</v>
      </c>
      <c r="AG33" s="7"/>
      <c r="AH33" s="7">
        <f t="shared" si="7"/>
        <v>1925.77</v>
      </c>
      <c r="AI33" s="84">
        <v>651136</v>
      </c>
      <c r="AJ33" s="76">
        <f t="shared" si="5"/>
        <v>3742</v>
      </c>
      <c r="AK33" s="84">
        <v>82870</v>
      </c>
      <c r="AL33" s="76">
        <f t="shared" si="15"/>
        <v>256</v>
      </c>
      <c r="AM33" s="76">
        <v>12306</v>
      </c>
      <c r="AN33" s="76">
        <f t="shared" si="8"/>
        <v>53</v>
      </c>
      <c r="AO33" s="76">
        <v>85992</v>
      </c>
      <c r="AP33" s="227">
        <f t="shared" si="12"/>
        <v>0</v>
      </c>
      <c r="AQ33" s="76">
        <v>115817</v>
      </c>
      <c r="AR33" s="227">
        <f t="shared" si="9"/>
        <v>0</v>
      </c>
      <c r="AS33" s="49">
        <f t="shared" si="1"/>
        <v>0</v>
      </c>
      <c r="AT33" s="17">
        <v>2</v>
      </c>
    </row>
    <row r="34" spans="2:46" ht="15" x14ac:dyDescent="0.25">
      <c r="B34" s="8">
        <f t="shared" si="10"/>
        <v>44923</v>
      </c>
      <c r="C34" s="42" t="str">
        <f t="shared" si="2"/>
        <v>Wed</v>
      </c>
      <c r="D34" s="289">
        <v>0.79402541999999998</v>
      </c>
      <c r="E34" s="289">
        <v>0.77819823999999993</v>
      </c>
      <c r="F34" s="289">
        <v>0.48845829000000002</v>
      </c>
      <c r="G34" s="345">
        <f t="shared" si="3"/>
        <v>17206.694282500001</v>
      </c>
      <c r="H34" s="279">
        <v>0.55900000000000005</v>
      </c>
      <c r="I34" s="363">
        <v>1227</v>
      </c>
      <c r="J34" s="344">
        <f t="shared" si="16"/>
        <v>0</v>
      </c>
      <c r="K34" s="355">
        <v>4827029</v>
      </c>
      <c r="L34" s="348">
        <f t="shared" si="11"/>
        <v>12013</v>
      </c>
      <c r="M34" s="26"/>
      <c r="N34" s="26"/>
      <c r="O34" s="22"/>
      <c r="P34" s="22"/>
      <c r="Q34" s="21"/>
      <c r="R34" s="22"/>
      <c r="S34" s="21"/>
      <c r="T34" s="109">
        <v>0</v>
      </c>
      <c r="U34" s="109">
        <v>0</v>
      </c>
      <c r="V34" s="107">
        <f t="shared" si="14"/>
        <v>0</v>
      </c>
      <c r="W34" s="109">
        <v>323</v>
      </c>
      <c r="X34" s="103">
        <v>12241</v>
      </c>
      <c r="Y34" s="49">
        <f t="shared" si="4"/>
        <v>12564</v>
      </c>
      <c r="Z34" s="44">
        <v>0</v>
      </c>
      <c r="AA34" s="44">
        <v>0</v>
      </c>
      <c r="AB34" s="44">
        <v>0</v>
      </c>
      <c r="AC34" s="106"/>
      <c r="AD34" s="248"/>
      <c r="AE34" s="243">
        <f t="shared" si="13"/>
        <v>0</v>
      </c>
      <c r="AF34" s="243">
        <v>15.44</v>
      </c>
      <c r="AG34" s="7"/>
      <c r="AH34" s="7">
        <f t="shared" si="7"/>
        <v>1925.77</v>
      </c>
      <c r="AI34" s="84">
        <v>654338</v>
      </c>
      <c r="AJ34" s="76">
        <f t="shared" si="5"/>
        <v>3202</v>
      </c>
      <c r="AK34" s="84">
        <v>83166</v>
      </c>
      <c r="AL34" s="76">
        <f t="shared" si="15"/>
        <v>296</v>
      </c>
      <c r="AM34" s="76">
        <v>12348</v>
      </c>
      <c r="AN34" s="76">
        <f t="shared" si="8"/>
        <v>42</v>
      </c>
      <c r="AO34" s="76">
        <v>85992</v>
      </c>
      <c r="AP34" s="227">
        <f t="shared" si="12"/>
        <v>0</v>
      </c>
      <c r="AQ34" s="76">
        <v>115817</v>
      </c>
      <c r="AR34" s="227">
        <f t="shared" si="9"/>
        <v>0</v>
      </c>
      <c r="AS34" s="49">
        <f t="shared" si="1"/>
        <v>0</v>
      </c>
      <c r="AT34" s="17">
        <v>2</v>
      </c>
    </row>
    <row r="35" spans="2:46" ht="15" x14ac:dyDescent="0.25">
      <c r="B35" s="8">
        <f t="shared" si="10"/>
        <v>44924</v>
      </c>
      <c r="C35" s="42" t="str">
        <f t="shared" si="2"/>
        <v>Thu</v>
      </c>
      <c r="D35" s="289">
        <v>0.57370926</v>
      </c>
      <c r="E35" s="289">
        <v>0.59843619999999997</v>
      </c>
      <c r="F35" s="289">
        <v>0.61604473000000004</v>
      </c>
      <c r="G35" s="345">
        <f t="shared" si="3"/>
        <v>14931.388086500001</v>
      </c>
      <c r="H35" s="279">
        <v>0.55500000000000005</v>
      </c>
      <c r="I35" s="363">
        <v>1470</v>
      </c>
      <c r="J35" s="344">
        <f t="shared" si="16"/>
        <v>243</v>
      </c>
      <c r="K35" s="355">
        <v>3790925</v>
      </c>
      <c r="L35" s="348">
        <f t="shared" si="11"/>
        <v>-1036104</v>
      </c>
      <c r="M35" s="26"/>
      <c r="N35" s="26"/>
      <c r="O35" s="22"/>
      <c r="P35" s="22"/>
      <c r="Q35" s="21"/>
      <c r="R35" s="22"/>
      <c r="S35" s="21"/>
      <c r="T35" s="109">
        <v>0</v>
      </c>
      <c r="U35" s="109">
        <v>0</v>
      </c>
      <c r="V35" s="108">
        <f t="shared" si="14"/>
        <v>0</v>
      </c>
      <c r="W35" s="109">
        <v>67</v>
      </c>
      <c r="X35" s="77">
        <v>16837</v>
      </c>
      <c r="Y35" s="49">
        <f t="shared" si="4"/>
        <v>16904</v>
      </c>
      <c r="Z35" s="44">
        <v>0</v>
      </c>
      <c r="AA35" s="44">
        <v>0</v>
      </c>
      <c r="AB35" s="44">
        <v>0</v>
      </c>
      <c r="AC35" s="106"/>
      <c r="AD35" s="248"/>
      <c r="AE35" s="243">
        <f t="shared" si="13"/>
        <v>0</v>
      </c>
      <c r="AF35" s="243">
        <v>16.84</v>
      </c>
      <c r="AG35" s="7"/>
      <c r="AH35" s="7">
        <f t="shared" si="7"/>
        <v>1925.77</v>
      </c>
      <c r="AI35" s="84">
        <v>657998</v>
      </c>
      <c r="AJ35" s="76">
        <f t="shared" si="5"/>
        <v>3660</v>
      </c>
      <c r="AK35" s="84">
        <v>83375</v>
      </c>
      <c r="AL35" s="76">
        <f t="shared" si="15"/>
        <v>209</v>
      </c>
      <c r="AM35" s="76">
        <f>'Jan2023'!AM37-'Feb2023'!AM34</f>
        <v>-823</v>
      </c>
      <c r="AN35" s="76">
        <f t="shared" si="8"/>
        <v>-13171</v>
      </c>
      <c r="AO35" s="76">
        <v>85992</v>
      </c>
      <c r="AP35" s="227">
        <f t="shared" si="12"/>
        <v>0</v>
      </c>
      <c r="AQ35" s="76">
        <v>115817</v>
      </c>
      <c r="AR35" s="227">
        <f t="shared" si="9"/>
        <v>0</v>
      </c>
      <c r="AS35" s="49">
        <f t="shared" si="1"/>
        <v>0</v>
      </c>
      <c r="AT35" s="17">
        <v>2</v>
      </c>
    </row>
    <row r="36" spans="2:46" x14ac:dyDescent="0.25">
      <c r="B36" s="8">
        <f t="shared" si="10"/>
        <v>44925</v>
      </c>
      <c r="C36" s="42" t="str">
        <f t="shared" si="2"/>
        <v>Fri</v>
      </c>
      <c r="D36" s="289">
        <v>0.82520691000000002</v>
      </c>
      <c r="E36" s="289">
        <v>0.89011253000000001</v>
      </c>
      <c r="F36" s="289">
        <v>0.38784863000000003</v>
      </c>
      <c r="G36" s="345">
        <f t="shared" si="3"/>
        <v>17561.453384500001</v>
      </c>
      <c r="H36" s="279">
        <v>0.55600000000000005</v>
      </c>
      <c r="I36" s="363">
        <v>1470</v>
      </c>
      <c r="J36" s="344">
        <f t="shared" si="16"/>
        <v>0</v>
      </c>
      <c r="K36" s="355">
        <v>3799976</v>
      </c>
      <c r="L36" s="348">
        <f t="shared" si="11"/>
        <v>9051</v>
      </c>
      <c r="M36" s="26">
        <v>4.1666666666666664E-2</v>
      </c>
      <c r="N36" s="26">
        <v>0.20833333333333334</v>
      </c>
      <c r="O36" s="22">
        <v>3540</v>
      </c>
      <c r="P36" s="22"/>
      <c r="Q36" s="21"/>
      <c r="R36" s="22"/>
      <c r="S36" s="21"/>
      <c r="T36" s="109">
        <v>0</v>
      </c>
      <c r="U36" s="109">
        <v>0</v>
      </c>
      <c r="V36" s="108">
        <f t="shared" si="14"/>
        <v>0</v>
      </c>
      <c r="W36" s="109">
        <v>378</v>
      </c>
      <c r="X36" s="77">
        <v>9051</v>
      </c>
      <c r="Y36" s="49">
        <f t="shared" si="4"/>
        <v>9429</v>
      </c>
      <c r="Z36" s="44">
        <v>0</v>
      </c>
      <c r="AA36" s="44">
        <v>0</v>
      </c>
      <c r="AB36" s="44">
        <v>0</v>
      </c>
      <c r="AC36" s="106"/>
      <c r="AD36" s="247"/>
      <c r="AE36" s="243">
        <f t="shared" si="13"/>
        <v>0</v>
      </c>
      <c r="AF36" s="243">
        <v>15.77</v>
      </c>
      <c r="AG36" s="7"/>
      <c r="AH36" s="7">
        <f t="shared" si="7"/>
        <v>1925.77</v>
      </c>
      <c r="AI36" s="84">
        <v>660495</v>
      </c>
      <c r="AJ36" s="76">
        <f t="shared" si="5"/>
        <v>2497</v>
      </c>
      <c r="AK36" s="84">
        <v>83529</v>
      </c>
      <c r="AL36" s="76">
        <f t="shared" si="15"/>
        <v>154</v>
      </c>
      <c r="AM36" s="76">
        <v>12439</v>
      </c>
      <c r="AN36" s="76">
        <f t="shared" si="8"/>
        <v>13262</v>
      </c>
      <c r="AO36" s="76">
        <v>85992</v>
      </c>
      <c r="AP36" s="227">
        <f t="shared" si="12"/>
        <v>0</v>
      </c>
      <c r="AQ36" s="76">
        <v>115817</v>
      </c>
      <c r="AR36" s="227">
        <f t="shared" si="9"/>
        <v>0</v>
      </c>
      <c r="AS36" s="49">
        <f t="shared" si="1"/>
        <v>0</v>
      </c>
      <c r="AT36" s="17" t="s">
        <v>54</v>
      </c>
    </row>
    <row r="37" spans="2:46" x14ac:dyDescent="0.25">
      <c r="B37" s="8">
        <f t="shared" si="10"/>
        <v>44926</v>
      </c>
      <c r="C37" s="42" t="str">
        <f t="shared" si="2"/>
        <v>Sat</v>
      </c>
      <c r="D37" s="297">
        <v>0.93975754</v>
      </c>
      <c r="E37" s="297">
        <v>0.73399947999999993</v>
      </c>
      <c r="F37" s="298">
        <v>0.49859935999999999</v>
      </c>
      <c r="G37" s="345">
        <f t="shared" si="3"/>
        <v>18139.175772999999</v>
      </c>
      <c r="H37" s="342">
        <v>0.55600000000000005</v>
      </c>
      <c r="I37" s="363">
        <v>1470</v>
      </c>
      <c r="J37" s="344">
        <f t="shared" si="16"/>
        <v>0</v>
      </c>
      <c r="K37" s="355">
        <v>3799976</v>
      </c>
      <c r="L37" s="348">
        <f t="shared" si="11"/>
        <v>0</v>
      </c>
      <c r="M37" s="26">
        <v>0.59375</v>
      </c>
      <c r="N37" s="26">
        <v>0.25</v>
      </c>
      <c r="O37" s="22">
        <v>14382</v>
      </c>
      <c r="P37" s="22"/>
      <c r="Q37" s="21"/>
      <c r="R37" s="22"/>
      <c r="S37" s="21"/>
      <c r="T37" s="109">
        <v>0</v>
      </c>
      <c r="U37" s="109">
        <v>0</v>
      </c>
      <c r="V37" s="108">
        <f t="shared" si="14"/>
        <v>0</v>
      </c>
      <c r="W37" s="109">
        <v>0</v>
      </c>
      <c r="X37" s="77">
        <v>0</v>
      </c>
      <c r="Y37" s="49">
        <f t="shared" si="4"/>
        <v>0</v>
      </c>
      <c r="Z37" s="44">
        <v>0</v>
      </c>
      <c r="AA37" s="44">
        <v>0</v>
      </c>
      <c r="AB37" s="44">
        <v>0</v>
      </c>
      <c r="AC37" s="106"/>
      <c r="AD37" s="247"/>
      <c r="AE37" s="243"/>
      <c r="AF37" s="243"/>
      <c r="AG37" s="7"/>
      <c r="AH37" s="7"/>
      <c r="AI37" s="84">
        <v>662125</v>
      </c>
      <c r="AJ37" s="76">
        <f t="shared" si="5"/>
        <v>1630</v>
      </c>
      <c r="AK37" s="84">
        <v>83529</v>
      </c>
      <c r="AL37" s="76">
        <f t="shared" si="15"/>
        <v>0</v>
      </c>
      <c r="AM37" s="76">
        <v>12477</v>
      </c>
      <c r="AN37" s="76">
        <f t="shared" si="8"/>
        <v>38</v>
      </c>
      <c r="AO37" s="76">
        <v>85992</v>
      </c>
      <c r="AP37" s="227"/>
      <c r="AQ37" s="76">
        <v>115817</v>
      </c>
      <c r="AR37" s="227"/>
      <c r="AS37" s="49"/>
      <c r="AT37" s="17" t="s">
        <v>54</v>
      </c>
    </row>
    <row r="38" spans="2:46" x14ac:dyDescent="0.25">
      <c r="B38" s="14" t="s">
        <v>48</v>
      </c>
      <c r="C38" s="14"/>
      <c r="D38" s="69">
        <v>0.66675402900000014</v>
      </c>
      <c r="E38" s="69">
        <v>0.59115364300000006</v>
      </c>
      <c r="F38" s="69">
        <v>0.58072093833333338</v>
      </c>
      <c r="G38" s="364">
        <v>15352.548896283337</v>
      </c>
      <c r="H38" s="341">
        <f>AVERAGE(H7:H37)</f>
        <v>0.55922580645161302</v>
      </c>
      <c r="I38" s="365">
        <f>MAX(I7:I37)</f>
        <v>1470</v>
      </c>
      <c r="J38" s="340">
        <f>SUM(J7:J37)</f>
        <v>1470</v>
      </c>
      <c r="K38" s="378">
        <v>3799976</v>
      </c>
      <c r="L38" s="340">
        <f>SUM(L7:L37)</f>
        <v>281824</v>
      </c>
      <c r="M38" s="67"/>
      <c r="N38" s="67"/>
      <c r="O38" s="340">
        <f>SUM(O7:O37)</f>
        <v>36706</v>
      </c>
      <c r="P38" s="67"/>
      <c r="Q38" s="65">
        <v>0</v>
      </c>
      <c r="R38" s="67"/>
      <c r="S38" s="65">
        <v>0</v>
      </c>
      <c r="T38" s="65">
        <f t="shared" ref="T38:AC38" si="17">SUM(T7:T37)</f>
        <v>0</v>
      </c>
      <c r="U38" s="65">
        <f t="shared" si="17"/>
        <v>0</v>
      </c>
      <c r="V38" s="65">
        <f t="shared" si="17"/>
        <v>0</v>
      </c>
      <c r="W38" s="65">
        <f>SUM(W7:W37)</f>
        <v>1470</v>
      </c>
      <c r="X38" s="65">
        <f>SUM(X7:X37)</f>
        <v>283116</v>
      </c>
      <c r="Y38" s="65">
        <f>SUM(Y7:Y37)</f>
        <v>284586</v>
      </c>
      <c r="Z38" s="65">
        <f t="shared" si="17"/>
        <v>0</v>
      </c>
      <c r="AA38" s="65">
        <f t="shared" si="17"/>
        <v>0</v>
      </c>
      <c r="AB38" s="260">
        <f t="shared" si="17"/>
        <v>0</v>
      </c>
      <c r="AC38" s="65">
        <f t="shared" si="17"/>
        <v>254.26999999999998</v>
      </c>
      <c r="AD38" s="99">
        <f>SUM(AD7:AD36)</f>
        <v>0</v>
      </c>
      <c r="AE38" s="11"/>
      <c r="AF38" s="258">
        <f>AVERAGE(AF7:AF37)</f>
        <v>15.256625</v>
      </c>
      <c r="AG38" s="7"/>
      <c r="AH38" s="68"/>
      <c r="AI38" s="66"/>
      <c r="AJ38" s="65">
        <f>SUM(AJ7:AJ37)</f>
        <v>88124</v>
      </c>
      <c r="AK38" s="99"/>
      <c r="AL38" s="65">
        <f>SUM(AL7:AL37)</f>
        <v>5945</v>
      </c>
      <c r="AM38" s="65"/>
      <c r="AN38" s="65">
        <f>SUM(AN7:AN37)</f>
        <v>1258</v>
      </c>
      <c r="AO38" s="67"/>
      <c r="AP38" s="65">
        <f>SUMIFS(AP7:AP36,AP7:AP36,"&gt;0")</f>
        <v>0</v>
      </c>
      <c r="AQ38" s="67"/>
      <c r="AR38" s="65">
        <f>SUMIFS(AR7:AR37,AR7:AR37,"&gt;0")</f>
        <v>0</v>
      </c>
      <c r="AS38" s="65">
        <f>SUM(AS7:AS36)</f>
        <v>0</v>
      </c>
      <c r="AT38" s="5"/>
    </row>
    <row r="39" spans="2:46" x14ac:dyDescent="0.25">
      <c r="H39" s="372">
        <f>H38-'[2]16-31'!$K$28</f>
        <v>0</v>
      </c>
      <c r="J39" s="72">
        <f>J38-'[2]16-31'!$L$28</f>
        <v>0</v>
      </c>
      <c r="L39" s="347">
        <f>L38-'[2]16-31'!$O$28</f>
        <v>0</v>
      </c>
      <c r="O39" s="347">
        <f>O38-'[2]16-31'!$R$28</f>
        <v>0</v>
      </c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236"/>
      <c r="AE39" s="63"/>
      <c r="AG39" s="63"/>
      <c r="AH39" s="63"/>
      <c r="AL39" s="63"/>
      <c r="AM39" s="63"/>
      <c r="AN39" s="63"/>
      <c r="AR39" s="63"/>
      <c r="AS39" s="63"/>
    </row>
    <row r="40" spans="2:46" x14ac:dyDescent="0.25">
      <c r="G40" s="81"/>
      <c r="I40" s="88"/>
      <c r="J40" s="87"/>
      <c r="K40" s="88"/>
      <c r="L40" s="88"/>
      <c r="O40" s="89"/>
      <c r="P40" s="89"/>
      <c r="Q40" s="89"/>
      <c r="R40" s="89"/>
      <c r="S40" s="89"/>
      <c r="AD40" s="237"/>
      <c r="AF40" s="85"/>
      <c r="AG40" s="74"/>
      <c r="AI40" s="373">
        <f>AI37*7.5</f>
        <v>4965937.5</v>
      </c>
      <c r="AJ40" s="85"/>
      <c r="AK40" s="373">
        <f>AK37*7.5</f>
        <v>626467.5</v>
      </c>
      <c r="AM40" s="73"/>
      <c r="AN40" s="73"/>
      <c r="AO40" s="89"/>
      <c r="AP40" s="89"/>
      <c r="AR40" s="91"/>
      <c r="AS40" s="91"/>
      <c r="AT40" s="73">
        <f>SUM(AI40:AK40)</f>
        <v>5592405</v>
      </c>
    </row>
    <row r="41" spans="2:46" x14ac:dyDescent="0.25">
      <c r="C41" s="16"/>
      <c r="J41" s="80"/>
      <c r="K41" s="331" t="s">
        <v>97</v>
      </c>
      <c r="S41" s="331" t="s">
        <v>88</v>
      </c>
      <c r="T41" s="332"/>
      <c r="AF41" s="86"/>
      <c r="AI41" s="86"/>
      <c r="AJ41" s="86"/>
      <c r="AK41" s="86"/>
      <c r="AL41" s="73"/>
      <c r="AM41" s="73"/>
      <c r="AN41" s="73"/>
      <c r="AQ41" s="88"/>
    </row>
    <row r="42" spans="2:46" x14ac:dyDescent="0.25">
      <c r="K42" s="331" t="s">
        <v>74</v>
      </c>
      <c r="L42" s="347">
        <f>L38</f>
        <v>281824</v>
      </c>
      <c r="S42" s="331" t="s">
        <v>74</v>
      </c>
      <c r="T42" s="333">
        <f>Q38+S38-S32</f>
        <v>0</v>
      </c>
      <c r="AL42" s="63"/>
      <c r="AM42" s="63"/>
      <c r="AN42" s="63"/>
    </row>
    <row r="43" spans="2:46" x14ac:dyDescent="0.25">
      <c r="K43" s="331" t="s">
        <v>75</v>
      </c>
      <c r="L43" s="63">
        <f>Y38</f>
        <v>284586</v>
      </c>
      <c r="S43" s="331" t="s">
        <v>75</v>
      </c>
      <c r="T43" s="333">
        <f>AU38</f>
        <v>0</v>
      </c>
    </row>
    <row r="44" spans="2:46" x14ac:dyDescent="0.25">
      <c r="L44" s="73">
        <v>1292</v>
      </c>
      <c r="M44" s="1" t="s">
        <v>101</v>
      </c>
      <c r="S44" s="331" t="s">
        <v>76</v>
      </c>
      <c r="T44" s="331">
        <f>ABS(T42-T43)</f>
        <v>0</v>
      </c>
    </row>
    <row r="45" spans="2:46" x14ac:dyDescent="0.25">
      <c r="K45" s="357" t="s">
        <v>102</v>
      </c>
      <c r="L45" s="358">
        <f>L43-L44</f>
        <v>283294</v>
      </c>
      <c r="M45" s="1" t="s">
        <v>103</v>
      </c>
      <c r="S45" s="331" t="s">
        <v>77</v>
      </c>
      <c r="T45" s="334"/>
    </row>
    <row r="47" spans="2:46" x14ac:dyDescent="0.25">
      <c r="K47" s="359" t="s">
        <v>104</v>
      </c>
      <c r="L47" s="360">
        <f>L45*13.5</f>
        <v>3824469</v>
      </c>
      <c r="M47" s="359" t="s">
        <v>105</v>
      </c>
    </row>
  </sheetData>
  <mergeCells count="28">
    <mergeCell ref="B3:AC3"/>
    <mergeCell ref="AD3:AF3"/>
    <mergeCell ref="AG3:AH3"/>
    <mergeCell ref="AI3:AN4"/>
    <mergeCell ref="AT3:AT6"/>
    <mergeCell ref="B4:B6"/>
    <mergeCell ref="C4:C6"/>
    <mergeCell ref="D4:G4"/>
    <mergeCell ref="I4:L4"/>
    <mergeCell ref="M4:O4"/>
    <mergeCell ref="AD4:AF4"/>
    <mergeCell ref="AG4:AH4"/>
    <mergeCell ref="I5:J5"/>
    <mergeCell ref="K5:L5"/>
    <mergeCell ref="M5:N5"/>
    <mergeCell ref="AD5:AE5"/>
    <mergeCell ref="AG5:AH5"/>
    <mergeCell ref="P4:Q5"/>
    <mergeCell ref="R4:S5"/>
    <mergeCell ref="T4:V4"/>
    <mergeCell ref="W4:Y4"/>
    <mergeCell ref="Z4:AA4"/>
    <mergeCell ref="AB4:AC4"/>
    <mergeCell ref="AI5:AJ5"/>
    <mergeCell ref="AK5:AL5"/>
    <mergeCell ref="AM5:AN5"/>
    <mergeCell ref="AO5:AP5"/>
    <mergeCell ref="AQ5:AR5"/>
  </mergeCells>
  <pageMargins left="0" right="0" top="0.35433070866141736" bottom="0" header="0.31496062992125984" footer="0.31496062992125984"/>
  <pageSetup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68"/>
  <sheetViews>
    <sheetView showGridLines="0" zoomScale="80" zoomScaleNormal="80" zoomScaleSheetLayoutView="70" workbookViewId="0">
      <pane xSplit="3" ySplit="6" topLeftCell="H7" activePane="bottomRight" state="frozen"/>
      <selection pane="topRight" activeCell="B41" sqref="B41:E42"/>
      <selection pane="bottomLeft" activeCell="B41" sqref="B41:E42"/>
      <selection pane="bottomRight" activeCell="B41" sqref="B41:E42"/>
    </sheetView>
  </sheetViews>
  <sheetFormatPr defaultColWidth="9.109375" defaultRowHeight="13.8" x14ac:dyDescent="0.25"/>
  <cols>
    <col min="1" max="1" width="4.5546875" style="1" customWidth="1"/>
    <col min="2" max="2" width="22.5546875" style="2" customWidth="1"/>
    <col min="3" max="3" width="10.44140625" style="2" bestFit="1" customWidth="1"/>
    <col min="4" max="4" width="10.44140625" style="397" customWidth="1"/>
    <col min="5" max="5" width="10.44140625" style="2" customWidth="1"/>
    <col min="6" max="6" width="10" style="2" customWidth="1"/>
    <col min="7" max="7" width="14.109375" style="2" customWidth="1"/>
    <col min="8" max="8" width="11.44140625" style="2" customWidth="1"/>
    <col min="9" max="9" width="15.44140625" style="1" customWidth="1"/>
    <col min="10" max="10" width="13" style="1" customWidth="1"/>
    <col min="11" max="11" width="15.44140625" style="1" customWidth="1"/>
    <col min="12" max="12" width="15" style="398" bestFit="1" customWidth="1"/>
    <col min="13" max="13" width="10.88671875" style="1" bestFit="1" customWidth="1"/>
    <col min="14" max="14" width="10.88671875" style="1" customWidth="1"/>
    <col min="15" max="19" width="11.44140625" style="1" customWidth="1"/>
    <col min="20" max="20" width="12.44140625" style="3" customWidth="1"/>
    <col min="21" max="21" width="11.109375" style="3" customWidth="1"/>
    <col min="22" max="22" width="12.44140625" style="3" bestFit="1" customWidth="1"/>
    <col min="23" max="25" width="12.44140625" style="3" customWidth="1"/>
    <col min="26" max="26" width="11.5546875" style="3" customWidth="1"/>
    <col min="27" max="27" width="11.109375" style="3" customWidth="1"/>
    <col min="28" max="28" width="11" style="3" customWidth="1"/>
    <col min="29" max="29" width="11.44140625" style="3" customWidth="1"/>
    <col min="30" max="30" width="13.5546875" style="234" customWidth="1"/>
    <col min="31" max="31" width="13.5546875" style="1" customWidth="1"/>
    <col min="32" max="32" width="11.5546875" style="2" customWidth="1"/>
    <col min="33" max="34" width="12.88671875" style="1" customWidth="1"/>
    <col min="35" max="35" width="13.44140625" style="2" customWidth="1"/>
    <col min="36" max="36" width="12.88671875" style="2" customWidth="1"/>
    <col min="37" max="37" width="14.44140625" style="2" customWidth="1"/>
    <col min="38" max="40" width="12.88671875" style="1" customWidth="1"/>
    <col min="41" max="42" width="11.44140625" style="1" customWidth="1"/>
    <col min="43" max="43" width="11.5546875" style="1" customWidth="1"/>
    <col min="44" max="44" width="11.88671875" style="1" customWidth="1"/>
    <col min="45" max="45" width="14.109375" style="1" customWidth="1"/>
    <col min="46" max="46" width="38" style="1" bestFit="1" customWidth="1"/>
    <col min="47" max="47" width="9.109375" style="1"/>
    <col min="48" max="48" width="10.88671875" style="1" bestFit="1" customWidth="1"/>
    <col min="49" max="49" width="12.88671875" style="1" bestFit="1" customWidth="1"/>
    <col min="50" max="16384" width="9.109375" style="1"/>
  </cols>
  <sheetData>
    <row r="1" spans="1:50" x14ac:dyDescent="0.25">
      <c r="D1" s="415"/>
      <c r="E1" s="416"/>
      <c r="F1" s="416"/>
      <c r="G1" s="416"/>
      <c r="H1" s="416"/>
      <c r="I1" s="331"/>
      <c r="J1" s="331"/>
      <c r="K1" s="331"/>
      <c r="L1" s="417"/>
      <c r="M1" s="331"/>
      <c r="N1" s="331"/>
      <c r="O1" s="331"/>
      <c r="AD1" s="418"/>
      <c r="AE1" s="331"/>
      <c r="AF1" s="416"/>
      <c r="AI1" s="416"/>
      <c r="AJ1" s="416"/>
      <c r="AK1" s="416"/>
      <c r="AL1" s="331"/>
      <c r="AM1" s="331"/>
      <c r="AN1" s="331"/>
      <c r="AO1" s="331"/>
      <c r="AP1" s="331"/>
      <c r="AQ1" s="331"/>
      <c r="AR1" s="331"/>
      <c r="AS1" s="331"/>
    </row>
    <row r="2" spans="1:50" x14ac:dyDescent="0.25">
      <c r="B2" s="4" t="s">
        <v>0</v>
      </c>
      <c r="AI2" s="2">
        <f>5*101/1000*1.26</f>
        <v>0.63629999999999998</v>
      </c>
      <c r="AJ2" s="2">
        <f>AI2*30</f>
        <v>19.088999999999999</v>
      </c>
    </row>
    <row r="3" spans="1:50" ht="31.5" customHeight="1" x14ac:dyDescent="0.25">
      <c r="B3" s="479" t="s">
        <v>1</v>
      </c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  <c r="AA3" s="480"/>
      <c r="AB3" s="480"/>
      <c r="AC3" s="481"/>
      <c r="AD3" s="490" t="s">
        <v>2</v>
      </c>
      <c r="AE3" s="491"/>
      <c r="AF3" s="492"/>
      <c r="AG3" s="485" t="s">
        <v>3</v>
      </c>
      <c r="AH3" s="486"/>
      <c r="AI3" s="465" t="s">
        <v>4</v>
      </c>
      <c r="AJ3" s="473"/>
      <c r="AK3" s="473"/>
      <c r="AL3" s="473"/>
      <c r="AM3" s="473"/>
      <c r="AN3" s="473"/>
      <c r="AO3" s="225"/>
      <c r="AP3" s="225"/>
      <c r="AQ3" s="225"/>
      <c r="AR3" s="225"/>
      <c r="AS3" s="225"/>
      <c r="AT3" s="457" t="s">
        <v>5</v>
      </c>
    </row>
    <row r="4" spans="1:50" ht="16.5" customHeight="1" x14ac:dyDescent="0.25">
      <c r="B4" s="460" t="s">
        <v>6</v>
      </c>
      <c r="C4" s="461" t="s">
        <v>7</v>
      </c>
      <c r="D4" s="500" t="s">
        <v>8</v>
      </c>
      <c r="E4" s="462"/>
      <c r="F4" s="462"/>
      <c r="G4" s="463"/>
      <c r="H4" s="54" t="s">
        <v>9</v>
      </c>
      <c r="I4" s="464"/>
      <c r="J4" s="464"/>
      <c r="K4" s="464"/>
      <c r="L4" s="501"/>
      <c r="M4" s="464" t="s">
        <v>11</v>
      </c>
      <c r="N4" s="464"/>
      <c r="O4" s="464"/>
      <c r="P4" s="465" t="s">
        <v>56</v>
      </c>
      <c r="Q4" s="466"/>
      <c r="R4" s="465" t="s">
        <v>57</v>
      </c>
      <c r="S4" s="466"/>
      <c r="T4" s="469" t="s">
        <v>13</v>
      </c>
      <c r="U4" s="470"/>
      <c r="V4" s="471"/>
      <c r="W4" s="482" t="s">
        <v>14</v>
      </c>
      <c r="X4" s="483"/>
      <c r="Y4" s="484"/>
      <c r="Z4" s="461" t="s">
        <v>15</v>
      </c>
      <c r="AA4" s="463"/>
      <c r="AB4" s="461" t="s">
        <v>16</v>
      </c>
      <c r="AC4" s="463"/>
      <c r="AD4" s="487" t="s">
        <v>17</v>
      </c>
      <c r="AE4" s="488"/>
      <c r="AF4" s="489"/>
      <c r="AG4" s="477" t="s">
        <v>17</v>
      </c>
      <c r="AH4" s="478"/>
      <c r="AI4" s="467"/>
      <c r="AJ4" s="474"/>
      <c r="AK4" s="474"/>
      <c r="AL4" s="474"/>
      <c r="AM4" s="474"/>
      <c r="AN4" s="474"/>
      <c r="AO4" s="228"/>
      <c r="AP4" s="228"/>
      <c r="AQ4" s="228"/>
      <c r="AR4" s="228"/>
      <c r="AS4" s="228"/>
      <c r="AT4" s="458"/>
    </row>
    <row r="5" spans="1:50" ht="52.5" customHeight="1" x14ac:dyDescent="0.25">
      <c r="B5" s="460"/>
      <c r="C5" s="461"/>
      <c r="D5" s="399" t="s">
        <v>18</v>
      </c>
      <c r="E5" s="41" t="s">
        <v>19</v>
      </c>
      <c r="F5" s="41" t="s">
        <v>20</v>
      </c>
      <c r="G5" s="41" t="s">
        <v>21</v>
      </c>
      <c r="H5" s="43" t="s">
        <v>22</v>
      </c>
      <c r="I5" s="477" t="s">
        <v>68</v>
      </c>
      <c r="J5" s="493"/>
      <c r="K5" s="472" t="s">
        <v>52</v>
      </c>
      <c r="L5" s="502"/>
      <c r="M5" s="460" t="s">
        <v>25</v>
      </c>
      <c r="N5" s="460"/>
      <c r="O5" s="43" t="s">
        <v>26</v>
      </c>
      <c r="P5" s="467"/>
      <c r="Q5" s="468"/>
      <c r="R5" s="467"/>
      <c r="S5" s="468"/>
      <c r="T5" s="82" t="s">
        <v>27</v>
      </c>
      <c r="U5" s="82" t="s">
        <v>24</v>
      </c>
      <c r="V5" s="82" t="s">
        <v>21</v>
      </c>
      <c r="W5" s="34" t="s">
        <v>27</v>
      </c>
      <c r="X5" s="34" t="s">
        <v>24</v>
      </c>
      <c r="Y5" s="36" t="s">
        <v>21</v>
      </c>
      <c r="Z5" s="82" t="s">
        <v>27</v>
      </c>
      <c r="AA5" s="82" t="s">
        <v>24</v>
      </c>
      <c r="AB5" s="82" t="s">
        <v>27</v>
      </c>
      <c r="AC5" s="82" t="s">
        <v>24</v>
      </c>
      <c r="AD5" s="472" t="s">
        <v>28</v>
      </c>
      <c r="AE5" s="472"/>
      <c r="AF5" s="45" t="s">
        <v>29</v>
      </c>
      <c r="AG5" s="477" t="s">
        <v>28</v>
      </c>
      <c r="AH5" s="493"/>
      <c r="AI5" s="475" t="s">
        <v>30</v>
      </c>
      <c r="AJ5" s="476"/>
      <c r="AK5" s="475" t="s">
        <v>31</v>
      </c>
      <c r="AL5" s="476"/>
      <c r="AM5" s="477" t="s">
        <v>32</v>
      </c>
      <c r="AN5" s="478"/>
      <c r="AO5" s="477" t="s">
        <v>56</v>
      </c>
      <c r="AP5" s="493"/>
      <c r="AQ5" s="477" t="s">
        <v>67</v>
      </c>
      <c r="AR5" s="493"/>
      <c r="AS5" s="226" t="s">
        <v>69</v>
      </c>
      <c r="AT5" s="458"/>
    </row>
    <row r="6" spans="1:50" ht="14.4" x14ac:dyDescent="0.3">
      <c r="B6" s="460"/>
      <c r="C6" s="461"/>
      <c r="D6" s="400">
        <v>8350</v>
      </c>
      <c r="E6" s="83">
        <v>8350</v>
      </c>
      <c r="F6" s="83">
        <v>8350</v>
      </c>
      <c r="G6" s="83">
        <f>D6+E6+F6</f>
        <v>25050</v>
      </c>
      <c r="H6" s="56" t="s">
        <v>33</v>
      </c>
      <c r="I6" s="17" t="s">
        <v>34</v>
      </c>
      <c r="J6" s="124" t="s">
        <v>53</v>
      </c>
      <c r="K6" s="17" t="s">
        <v>34</v>
      </c>
      <c r="L6" s="401" t="s">
        <v>53</v>
      </c>
      <c r="M6" s="393" t="s">
        <v>36</v>
      </c>
      <c r="N6" s="40" t="s">
        <v>37</v>
      </c>
      <c r="O6" s="41" t="s">
        <v>38</v>
      </c>
      <c r="P6" s="17" t="s">
        <v>34</v>
      </c>
      <c r="Q6" s="17" t="s">
        <v>35</v>
      </c>
      <c r="R6" s="17" t="s">
        <v>34</v>
      </c>
      <c r="S6" s="17" t="s">
        <v>35</v>
      </c>
      <c r="T6" s="82" t="s">
        <v>39</v>
      </c>
      <c r="U6" s="82" t="s">
        <v>39</v>
      </c>
      <c r="V6" s="82" t="s">
        <v>39</v>
      </c>
      <c r="W6" s="82"/>
      <c r="X6" s="82"/>
      <c r="Y6" s="82"/>
      <c r="Z6" s="41" t="s">
        <v>40</v>
      </c>
      <c r="AA6" s="41" t="s">
        <v>40</v>
      </c>
      <c r="AB6" s="41" t="s">
        <v>40</v>
      </c>
      <c r="AC6" s="41" t="s">
        <v>40</v>
      </c>
      <c r="AD6" s="235" t="s">
        <v>41</v>
      </c>
      <c r="AE6" s="78" t="s">
        <v>42</v>
      </c>
      <c r="AF6" s="9" t="s">
        <v>43</v>
      </c>
      <c r="AG6" s="17" t="s">
        <v>41</v>
      </c>
      <c r="AH6" s="78" t="s">
        <v>42</v>
      </c>
      <c r="AI6" s="9" t="s">
        <v>34</v>
      </c>
      <c r="AJ6" s="9" t="s">
        <v>44</v>
      </c>
      <c r="AK6" s="9" t="s">
        <v>34</v>
      </c>
      <c r="AL6" s="9" t="s">
        <v>44</v>
      </c>
      <c r="AM6" s="9" t="s">
        <v>34</v>
      </c>
      <c r="AN6" s="9" t="s">
        <v>44</v>
      </c>
      <c r="AO6" s="17" t="s">
        <v>34</v>
      </c>
      <c r="AP6" s="17" t="s">
        <v>35</v>
      </c>
      <c r="AQ6" s="17" t="s">
        <v>34</v>
      </c>
      <c r="AR6" s="17" t="s">
        <v>35</v>
      </c>
      <c r="AS6" s="17" t="s">
        <v>53</v>
      </c>
      <c r="AT6" s="459"/>
    </row>
    <row r="7" spans="1:50" x14ac:dyDescent="0.25">
      <c r="B7" s="8">
        <v>44927</v>
      </c>
      <c r="C7" s="392" t="str">
        <f>TEXT(B7,"ddd")</f>
        <v>Sun</v>
      </c>
      <c r="D7" s="402">
        <v>0.76645691000000005</v>
      </c>
      <c r="E7" s="180">
        <v>0.81144875000000005</v>
      </c>
      <c r="F7" s="180">
        <v>0.58780926</v>
      </c>
      <c r="G7" s="419">
        <f>SUMPRODUCT($D$6:$F$6,D7:F7)</f>
        <v>18083.719581999998</v>
      </c>
      <c r="H7" s="272"/>
      <c r="I7" s="362">
        <v>1470</v>
      </c>
      <c r="J7" s="22">
        <f>I7-1470</f>
        <v>0</v>
      </c>
      <c r="K7" s="349">
        <v>3799976</v>
      </c>
      <c r="L7" s="403">
        <f>K7-3799976</f>
        <v>0</v>
      </c>
      <c r="M7" s="394"/>
      <c r="N7" s="23"/>
      <c r="O7" s="22"/>
      <c r="P7" s="22"/>
      <c r="Q7" s="305"/>
      <c r="R7" s="22"/>
      <c r="S7" s="21"/>
      <c r="T7" s="109">
        <v>0</v>
      </c>
      <c r="U7" s="109">
        <v>0</v>
      </c>
      <c r="V7" s="105">
        <f t="shared" ref="V7:V16" si="0">SUM(T7:U7)</f>
        <v>0</v>
      </c>
      <c r="W7" s="109"/>
      <c r="X7" s="109"/>
      <c r="Y7" s="49">
        <f>SUM(W7:X7)</f>
        <v>0</v>
      </c>
      <c r="Z7" s="44">
        <v>0</v>
      </c>
      <c r="AA7" s="44">
        <v>0</v>
      </c>
      <c r="AB7" s="44">
        <v>0</v>
      </c>
      <c r="AC7" s="106"/>
      <c r="AD7" s="242"/>
      <c r="AE7" s="243">
        <f>AD7</f>
        <v>0</v>
      </c>
      <c r="AF7" s="368"/>
      <c r="AG7" s="7"/>
      <c r="AH7" s="7">
        <f>AG7</f>
        <v>0</v>
      </c>
      <c r="AI7" s="84">
        <v>665845</v>
      </c>
      <c r="AJ7" s="76">
        <f>AI7-'Dec2022'!AI37</f>
        <v>3720</v>
      </c>
      <c r="AK7" s="84">
        <v>83529</v>
      </c>
      <c r="AL7" s="76">
        <f>AK7-'Dec2022'!AK37</f>
        <v>0</v>
      </c>
      <c r="AM7" s="76">
        <v>12477</v>
      </c>
      <c r="AN7" s="76">
        <f>AM7-'Dec2022'!AM37</f>
        <v>0</v>
      </c>
      <c r="AO7" s="76">
        <v>85992</v>
      </c>
      <c r="AP7" s="227">
        <f>AO7-'Oct2022'!AQ37</f>
        <v>0</v>
      </c>
      <c r="AQ7" s="76">
        <v>115817</v>
      </c>
      <c r="AR7" s="227">
        <f>AQ7-'Oct2022'!AS37</f>
        <v>0</v>
      </c>
      <c r="AS7" s="49">
        <f t="shared" ref="AS7:AS36" si="1">AP7+AR7</f>
        <v>0</v>
      </c>
      <c r="AT7" s="17"/>
      <c r="AV7" s="79"/>
      <c r="AW7" s="74"/>
      <c r="AX7" s="74"/>
    </row>
    <row r="8" spans="1:50" x14ac:dyDescent="0.25">
      <c r="B8" s="8">
        <f>B7+1</f>
        <v>44928</v>
      </c>
      <c r="C8" s="392" t="str">
        <f t="shared" ref="C8:C37" si="2">TEXT(B8,"ddd")</f>
        <v>Mon</v>
      </c>
      <c r="D8" s="402">
        <v>0.74768387000000003</v>
      </c>
      <c r="E8" s="180">
        <v>0.78598473000000002</v>
      </c>
      <c r="F8" s="180">
        <v>0.75533507999999994</v>
      </c>
      <c r="G8" s="345">
        <f t="shared" ref="G8:G37" si="3">SUMPRODUCT($D$6:$F$6,D8:F8)</f>
        <v>19113.180727999999</v>
      </c>
      <c r="H8" s="272"/>
      <c r="I8" s="363">
        <v>2201</v>
      </c>
      <c r="J8" s="344">
        <f>I8-I7</f>
        <v>731</v>
      </c>
      <c r="K8" s="350">
        <v>3801028</v>
      </c>
      <c r="L8" s="348">
        <f>K8-K7</f>
        <v>1052</v>
      </c>
      <c r="M8" s="379"/>
      <c r="N8" s="26"/>
      <c r="O8" s="22"/>
      <c r="P8" s="22"/>
      <c r="Q8" s="21"/>
      <c r="R8" s="22"/>
      <c r="S8" s="21"/>
      <c r="T8" s="109">
        <v>0</v>
      </c>
      <c r="U8" s="109">
        <v>0</v>
      </c>
      <c r="V8" s="105">
        <f t="shared" si="0"/>
        <v>0</v>
      </c>
      <c r="W8" s="109"/>
      <c r="X8" s="109"/>
      <c r="Y8" s="49">
        <f t="shared" ref="Y8:Y37" si="4">SUM(W8:X8)</f>
        <v>0</v>
      </c>
      <c r="Z8" s="44">
        <v>0</v>
      </c>
      <c r="AA8" s="44">
        <v>0</v>
      </c>
      <c r="AB8" s="44">
        <v>0</v>
      </c>
      <c r="AC8" s="106"/>
      <c r="AD8" s="244"/>
      <c r="AE8" s="243">
        <f>AD8+AE7</f>
        <v>0</v>
      </c>
      <c r="AF8" s="369"/>
      <c r="AG8" s="7"/>
      <c r="AH8" s="7">
        <f>AG8+AH7</f>
        <v>0</v>
      </c>
      <c r="AI8" s="84">
        <v>667842</v>
      </c>
      <c r="AJ8" s="76">
        <f t="shared" ref="AJ8:AJ37" si="5">AI8-AI7</f>
        <v>1997</v>
      </c>
      <c r="AK8" s="84">
        <v>83655</v>
      </c>
      <c r="AL8" s="76">
        <f t="shared" ref="AL8:AL37" si="6">AK8-AK7</f>
        <v>126</v>
      </c>
      <c r="AM8" s="76">
        <v>12495</v>
      </c>
      <c r="AN8" s="76">
        <f>AM8-AM7</f>
        <v>18</v>
      </c>
      <c r="AO8" s="76">
        <v>85992</v>
      </c>
      <c r="AP8" s="227">
        <f>AO8-AO7</f>
        <v>0</v>
      </c>
      <c r="AQ8" s="76">
        <v>115817</v>
      </c>
      <c r="AR8" s="227">
        <f>AQ8-AQ7</f>
        <v>0</v>
      </c>
      <c r="AS8" s="49">
        <f t="shared" si="1"/>
        <v>0</v>
      </c>
      <c r="AT8" s="17"/>
      <c r="AV8" s="79"/>
      <c r="AW8" s="74"/>
      <c r="AX8" s="74"/>
    </row>
    <row r="9" spans="1:50" x14ac:dyDescent="0.25">
      <c r="B9" s="8">
        <f>B8+1</f>
        <v>44929</v>
      </c>
      <c r="C9" s="392" t="str">
        <f t="shared" si="2"/>
        <v>Tue</v>
      </c>
      <c r="D9" s="402">
        <v>0.55840926999999996</v>
      </c>
      <c r="E9" s="180">
        <v>0.45981270000000002</v>
      </c>
      <c r="F9" s="180">
        <v>0.40140498999999996</v>
      </c>
      <c r="G9" s="345">
        <f t="shared" si="3"/>
        <v>11853.885115999999</v>
      </c>
      <c r="H9" s="272"/>
      <c r="I9" s="363">
        <v>3393</v>
      </c>
      <c r="J9" s="344">
        <f>I9-I8</f>
        <v>1192</v>
      </c>
      <c r="K9" s="350">
        <v>3814744</v>
      </c>
      <c r="L9" s="348">
        <f>K9-K8</f>
        <v>13716</v>
      </c>
      <c r="M9" s="379"/>
      <c r="N9" s="26"/>
      <c r="O9" s="22"/>
      <c r="P9" s="22"/>
      <c r="Q9" s="21"/>
      <c r="R9" s="22"/>
      <c r="S9" s="21"/>
      <c r="T9" s="109">
        <v>0</v>
      </c>
      <c r="U9" s="109">
        <v>0</v>
      </c>
      <c r="V9" s="105">
        <f t="shared" si="0"/>
        <v>0</v>
      </c>
      <c r="W9" s="109"/>
      <c r="X9" s="109"/>
      <c r="Y9" s="49">
        <f t="shared" si="4"/>
        <v>0</v>
      </c>
      <c r="Z9" s="44">
        <v>0</v>
      </c>
      <c r="AA9" s="44">
        <v>0</v>
      </c>
      <c r="AB9" s="44">
        <v>0</v>
      </c>
      <c r="AC9" s="106"/>
      <c r="AD9" s="244"/>
      <c r="AE9" s="243">
        <f>AD9+AE8</f>
        <v>0</v>
      </c>
      <c r="AF9" s="369"/>
      <c r="AG9" s="102"/>
      <c r="AH9" s="7">
        <f t="shared" ref="AH9:AH36" si="7">AG9+AH8</f>
        <v>0</v>
      </c>
      <c r="AI9" s="84">
        <v>670698</v>
      </c>
      <c r="AJ9" s="76">
        <f t="shared" si="5"/>
        <v>2856</v>
      </c>
      <c r="AK9" s="84">
        <v>83790</v>
      </c>
      <c r="AL9" s="76">
        <f t="shared" si="6"/>
        <v>135</v>
      </c>
      <c r="AM9" s="76">
        <v>12515</v>
      </c>
      <c r="AN9" s="76">
        <f t="shared" ref="AN9:AN37" si="8">AM9-AM8</f>
        <v>20</v>
      </c>
      <c r="AO9" s="76">
        <v>85992</v>
      </c>
      <c r="AP9" s="227">
        <f>AO9-AO8</f>
        <v>0</v>
      </c>
      <c r="AQ9" s="76">
        <v>115817</v>
      </c>
      <c r="AR9" s="227">
        <f t="shared" ref="AR9:AR36" si="9">AQ9-AQ8</f>
        <v>0</v>
      </c>
      <c r="AS9" s="49">
        <f t="shared" si="1"/>
        <v>0</v>
      </c>
      <c r="AT9" s="17"/>
      <c r="AV9" s="79"/>
      <c r="AW9" s="74"/>
      <c r="AX9" s="74"/>
    </row>
    <row r="10" spans="1:50" x14ac:dyDescent="0.25">
      <c r="A10" s="1" t="s">
        <v>100</v>
      </c>
      <c r="B10" s="8">
        <f t="shared" ref="B10:B37" si="10">B9+1</f>
        <v>44930</v>
      </c>
      <c r="C10" s="392" t="str">
        <f t="shared" si="2"/>
        <v>Wed</v>
      </c>
      <c r="D10" s="402">
        <v>0.80877960000000004</v>
      </c>
      <c r="E10" s="180">
        <v>0.42019996999999998</v>
      </c>
      <c r="F10" s="180">
        <v>0.94147232000000003</v>
      </c>
      <c r="G10" s="345">
        <f>SUMPRODUCT($D$6:$F$6,D10:F10)</f>
        <v>18123.273281499998</v>
      </c>
      <c r="H10" s="272"/>
      <c r="I10" s="363">
        <v>3712</v>
      </c>
      <c r="J10" s="344">
        <f t="shared" ref="J10:J37" si="11">I10-I9</f>
        <v>319</v>
      </c>
      <c r="K10" s="350">
        <v>3827450</v>
      </c>
      <c r="L10" s="348"/>
      <c r="M10" s="379"/>
      <c r="N10" s="26"/>
      <c r="O10" s="22"/>
      <c r="P10" s="22"/>
      <c r="Q10" s="21"/>
      <c r="R10" s="22"/>
      <c r="S10" s="21"/>
      <c r="T10" s="109">
        <v>0</v>
      </c>
      <c r="U10" s="109">
        <v>0</v>
      </c>
      <c r="V10" s="105">
        <f t="shared" si="0"/>
        <v>0</v>
      </c>
      <c r="W10" s="109"/>
      <c r="X10" s="109"/>
      <c r="Y10" s="49">
        <f t="shared" si="4"/>
        <v>0</v>
      </c>
      <c r="Z10" s="44">
        <v>0</v>
      </c>
      <c r="AA10" s="44">
        <v>0</v>
      </c>
      <c r="AB10" s="44">
        <v>0</v>
      </c>
      <c r="AC10" s="106"/>
      <c r="AD10" s="244">
        <v>174.25</v>
      </c>
      <c r="AE10" s="243">
        <f>AD10+AE9</f>
        <v>174.25</v>
      </c>
      <c r="AF10" s="369"/>
      <c r="AG10" s="102"/>
      <c r="AH10" s="7">
        <f t="shared" si="7"/>
        <v>0</v>
      </c>
      <c r="AI10" s="84">
        <v>672300</v>
      </c>
      <c r="AJ10" s="76">
        <f t="shared" si="5"/>
        <v>1602</v>
      </c>
      <c r="AK10" s="84">
        <v>83930</v>
      </c>
      <c r="AL10" s="76">
        <f t="shared" si="6"/>
        <v>140</v>
      </c>
      <c r="AM10" s="76">
        <v>12529</v>
      </c>
      <c r="AN10" s="76">
        <f t="shared" si="8"/>
        <v>14</v>
      </c>
      <c r="AO10" s="76">
        <v>85992</v>
      </c>
      <c r="AP10" s="227">
        <f t="shared" ref="AP10:AP36" si="12">AO10-AO9</f>
        <v>0</v>
      </c>
      <c r="AQ10" s="76">
        <v>115817</v>
      </c>
      <c r="AR10" s="227">
        <f t="shared" si="9"/>
        <v>0</v>
      </c>
      <c r="AS10" s="49">
        <f t="shared" si="1"/>
        <v>0</v>
      </c>
      <c r="AT10" s="17"/>
      <c r="AV10" s="79"/>
      <c r="AW10" s="74"/>
      <c r="AX10" s="74"/>
    </row>
    <row r="11" spans="1:50" x14ac:dyDescent="0.25">
      <c r="B11" s="8">
        <f t="shared" si="10"/>
        <v>44931</v>
      </c>
      <c r="C11" s="392" t="str">
        <f t="shared" si="2"/>
        <v>Thu</v>
      </c>
      <c r="D11" s="402">
        <v>0.49969772000000001</v>
      </c>
      <c r="E11" s="180">
        <v>0.54559623999999995</v>
      </c>
      <c r="F11" s="180">
        <v>0.60297703000000002</v>
      </c>
      <c r="G11" s="345">
        <f t="shared" si="3"/>
        <v>13763.062766499999</v>
      </c>
      <c r="H11" s="274"/>
      <c r="I11" s="363">
        <v>3781</v>
      </c>
      <c r="J11" s="344">
        <f t="shared" si="11"/>
        <v>69</v>
      </c>
      <c r="K11" s="350">
        <v>3849614</v>
      </c>
      <c r="L11" s="348">
        <f t="shared" ref="L11:L37" si="13">K11-K10</f>
        <v>22164</v>
      </c>
      <c r="M11" s="379"/>
      <c r="N11" s="26"/>
      <c r="O11" s="22"/>
      <c r="P11" s="22"/>
      <c r="Q11" s="21"/>
      <c r="R11" s="22"/>
      <c r="S11" s="21"/>
      <c r="T11" s="109">
        <v>0</v>
      </c>
      <c r="U11" s="109">
        <v>0</v>
      </c>
      <c r="V11" s="105">
        <f t="shared" si="0"/>
        <v>0</v>
      </c>
      <c r="W11" s="109"/>
      <c r="X11" s="109"/>
      <c r="Y11" s="49">
        <f t="shared" si="4"/>
        <v>0</v>
      </c>
      <c r="Z11" s="44">
        <v>0</v>
      </c>
      <c r="AA11" s="44">
        <v>0</v>
      </c>
      <c r="AB11" s="44">
        <v>0</v>
      </c>
      <c r="AC11" s="106"/>
      <c r="AD11" s="245">
        <v>632.39</v>
      </c>
      <c r="AE11" s="243">
        <f t="shared" ref="AE11:AE37" si="14">AD11+AE10</f>
        <v>806.64</v>
      </c>
      <c r="AF11" s="369"/>
      <c r="AG11" s="102"/>
      <c r="AH11" s="7">
        <f t="shared" si="7"/>
        <v>0</v>
      </c>
      <c r="AI11" s="84">
        <v>673975</v>
      </c>
      <c r="AJ11" s="76">
        <f t="shared" si="5"/>
        <v>1675</v>
      </c>
      <c r="AK11" s="84">
        <v>84114</v>
      </c>
      <c r="AL11" s="76">
        <f t="shared" si="6"/>
        <v>184</v>
      </c>
      <c r="AM11" s="76">
        <v>12547</v>
      </c>
      <c r="AN11" s="76">
        <f t="shared" si="8"/>
        <v>18</v>
      </c>
      <c r="AO11" s="76">
        <v>85992</v>
      </c>
      <c r="AP11" s="227">
        <f t="shared" si="12"/>
        <v>0</v>
      </c>
      <c r="AQ11" s="76">
        <v>115817</v>
      </c>
      <c r="AR11" s="227">
        <f t="shared" si="9"/>
        <v>0</v>
      </c>
      <c r="AS11" s="49">
        <f t="shared" si="1"/>
        <v>0</v>
      </c>
      <c r="AT11" s="17"/>
      <c r="AV11" s="79"/>
      <c r="AW11" s="74"/>
      <c r="AX11" s="74"/>
    </row>
    <row r="12" spans="1:50" x14ac:dyDescent="0.25">
      <c r="B12" s="8">
        <f t="shared" si="10"/>
        <v>44932</v>
      </c>
      <c r="C12" s="392" t="str">
        <f t="shared" si="2"/>
        <v>Fri</v>
      </c>
      <c r="D12" s="402">
        <v>0.76932007000000002</v>
      </c>
      <c r="E12" s="180">
        <v>0.73574355999999996</v>
      </c>
      <c r="F12" s="180">
        <v>0.83591187</v>
      </c>
      <c r="G12" s="345">
        <f t="shared" si="3"/>
        <v>19547.145425000002</v>
      </c>
      <c r="H12" s="274"/>
      <c r="I12" s="363">
        <v>3781</v>
      </c>
      <c r="J12" s="344">
        <f t="shared" si="11"/>
        <v>0</v>
      </c>
      <c r="K12" s="351">
        <v>3866772</v>
      </c>
      <c r="L12" s="348">
        <f t="shared" si="13"/>
        <v>17158</v>
      </c>
      <c r="M12" s="379"/>
      <c r="N12" s="26"/>
      <c r="O12" s="22"/>
      <c r="P12" s="22"/>
      <c r="Q12" s="21"/>
      <c r="R12" s="22"/>
      <c r="S12" s="21"/>
      <c r="T12" s="109">
        <v>0</v>
      </c>
      <c r="U12" s="109">
        <v>0</v>
      </c>
      <c r="V12" s="105">
        <f t="shared" si="0"/>
        <v>0</v>
      </c>
      <c r="W12" s="109"/>
      <c r="X12" s="109"/>
      <c r="Y12" s="49">
        <f t="shared" si="4"/>
        <v>0</v>
      </c>
      <c r="Z12" s="44">
        <v>0</v>
      </c>
      <c r="AA12" s="44">
        <v>0</v>
      </c>
      <c r="AB12" s="44">
        <v>0</v>
      </c>
      <c r="AC12" s="106"/>
      <c r="AD12" s="245"/>
      <c r="AE12" s="243">
        <f t="shared" si="14"/>
        <v>806.64</v>
      </c>
      <c r="AF12" s="368"/>
      <c r="AG12" s="102"/>
      <c r="AH12" s="7">
        <f t="shared" si="7"/>
        <v>0</v>
      </c>
      <c r="AI12" s="84">
        <v>678168</v>
      </c>
      <c r="AJ12" s="76">
        <f t="shared" si="5"/>
        <v>4193</v>
      </c>
      <c r="AK12" s="84">
        <v>84298</v>
      </c>
      <c r="AL12" s="76">
        <f t="shared" si="6"/>
        <v>184</v>
      </c>
      <c r="AM12" s="76">
        <v>12570</v>
      </c>
      <c r="AN12" s="76">
        <f t="shared" si="8"/>
        <v>23</v>
      </c>
      <c r="AO12" s="76">
        <v>85992</v>
      </c>
      <c r="AP12" s="227">
        <f t="shared" si="12"/>
        <v>0</v>
      </c>
      <c r="AQ12" s="76">
        <v>115817</v>
      </c>
      <c r="AR12" s="227">
        <f t="shared" si="9"/>
        <v>0</v>
      </c>
      <c r="AS12" s="49">
        <f t="shared" si="1"/>
        <v>0</v>
      </c>
      <c r="AT12" s="17"/>
      <c r="AV12" s="79"/>
      <c r="AW12" s="74"/>
      <c r="AX12" s="74"/>
    </row>
    <row r="13" spans="1:50" x14ac:dyDescent="0.25">
      <c r="B13" s="8">
        <f t="shared" si="10"/>
        <v>44933</v>
      </c>
      <c r="C13" s="392" t="str">
        <f t="shared" si="2"/>
        <v>Sat</v>
      </c>
      <c r="D13" s="402">
        <v>0.34669800000000001</v>
      </c>
      <c r="E13" s="180">
        <v>0.17168700999999997</v>
      </c>
      <c r="F13" s="180">
        <v>0.26822094000000002</v>
      </c>
      <c r="G13" s="345">
        <f t="shared" si="3"/>
        <v>6568.1596824999997</v>
      </c>
      <c r="H13" s="274"/>
      <c r="I13" s="363">
        <v>4134</v>
      </c>
      <c r="J13" s="344">
        <f t="shared" si="11"/>
        <v>353</v>
      </c>
      <c r="K13" s="351">
        <v>3896677</v>
      </c>
      <c r="L13" s="348">
        <f t="shared" si="13"/>
        <v>29905</v>
      </c>
      <c r="M13" s="379"/>
      <c r="N13" s="26"/>
      <c r="O13" s="22"/>
      <c r="P13" s="22"/>
      <c r="Q13" s="21"/>
      <c r="R13" s="22"/>
      <c r="S13" s="21"/>
      <c r="T13" s="109">
        <v>0</v>
      </c>
      <c r="U13" s="109">
        <v>0</v>
      </c>
      <c r="V13" s="105">
        <f t="shared" si="0"/>
        <v>0</v>
      </c>
      <c r="W13" s="109"/>
      <c r="X13" s="109"/>
      <c r="Y13" s="49">
        <f t="shared" si="4"/>
        <v>0</v>
      </c>
      <c r="Z13" s="44">
        <v>0</v>
      </c>
      <c r="AA13" s="44">
        <v>0</v>
      </c>
      <c r="AB13" s="44">
        <v>0</v>
      </c>
      <c r="AC13" s="106"/>
      <c r="AD13" s="245">
        <v>374.48</v>
      </c>
      <c r="AE13" s="243">
        <f t="shared" si="14"/>
        <v>1181.1199999999999</v>
      </c>
      <c r="AF13" s="370"/>
      <c r="AG13" s="7"/>
      <c r="AH13" s="7">
        <f t="shared" si="7"/>
        <v>0</v>
      </c>
      <c r="AI13" s="84">
        <v>681401</v>
      </c>
      <c r="AJ13" s="76">
        <f t="shared" si="5"/>
        <v>3233</v>
      </c>
      <c r="AK13" s="84">
        <v>84603</v>
      </c>
      <c r="AL13" s="76">
        <f t="shared" si="6"/>
        <v>305</v>
      </c>
      <c r="AM13" s="76">
        <v>12584</v>
      </c>
      <c r="AN13" s="76">
        <f t="shared" si="8"/>
        <v>14</v>
      </c>
      <c r="AO13" s="76">
        <v>85992</v>
      </c>
      <c r="AP13" s="227">
        <f t="shared" si="12"/>
        <v>0</v>
      </c>
      <c r="AQ13" s="76">
        <v>115817</v>
      </c>
      <c r="AR13" s="227">
        <f t="shared" si="9"/>
        <v>0</v>
      </c>
      <c r="AS13" s="49">
        <f t="shared" si="1"/>
        <v>0</v>
      </c>
      <c r="AT13" s="17"/>
      <c r="AV13" s="79"/>
      <c r="AW13" s="74"/>
      <c r="AX13" s="74"/>
    </row>
    <row r="14" spans="1:50" x14ac:dyDescent="0.25">
      <c r="B14" s="8">
        <f t="shared" si="10"/>
        <v>44934</v>
      </c>
      <c r="C14" s="392" t="str">
        <f t="shared" si="2"/>
        <v>Sun</v>
      </c>
      <c r="D14" s="402">
        <v>0.90501648000000001</v>
      </c>
      <c r="E14" s="180">
        <v>0.26352347999999998</v>
      </c>
      <c r="F14" s="180">
        <v>1.0053649900000001</v>
      </c>
      <c r="G14" s="345">
        <f t="shared" si="3"/>
        <v>18152.1063325</v>
      </c>
      <c r="H14" s="274"/>
      <c r="I14" s="363">
        <v>4679</v>
      </c>
      <c r="J14" s="344">
        <f t="shared" si="11"/>
        <v>545</v>
      </c>
      <c r="K14" s="351">
        <v>3907281</v>
      </c>
      <c r="L14" s="348">
        <f t="shared" si="13"/>
        <v>10604</v>
      </c>
      <c r="M14" s="379"/>
      <c r="N14" s="26"/>
      <c r="O14" s="22"/>
      <c r="P14" s="22"/>
      <c r="Q14" s="21"/>
      <c r="R14" s="22"/>
      <c r="S14" s="21"/>
      <c r="T14" s="109">
        <v>0</v>
      </c>
      <c r="U14" s="109">
        <v>0</v>
      </c>
      <c r="V14" s="105">
        <f t="shared" si="0"/>
        <v>0</v>
      </c>
      <c r="W14" s="109"/>
      <c r="X14" s="109"/>
      <c r="Y14" s="49">
        <f t="shared" si="4"/>
        <v>0</v>
      </c>
      <c r="Z14" s="44">
        <v>0</v>
      </c>
      <c r="AA14" s="44">
        <v>0</v>
      </c>
      <c r="AB14" s="44">
        <v>0</v>
      </c>
      <c r="AC14" s="106"/>
      <c r="AD14" s="245"/>
      <c r="AE14" s="243">
        <f t="shared" si="14"/>
        <v>1181.1199999999999</v>
      </c>
      <c r="AF14" s="371"/>
      <c r="AG14" s="7"/>
      <c r="AH14" s="7">
        <f t="shared" si="7"/>
        <v>0</v>
      </c>
      <c r="AI14" s="84">
        <v>685161</v>
      </c>
      <c r="AJ14" s="76">
        <f t="shared" si="5"/>
        <v>3760</v>
      </c>
      <c r="AK14" s="84">
        <v>85014</v>
      </c>
      <c r="AL14" s="76">
        <f t="shared" si="6"/>
        <v>411</v>
      </c>
      <c r="AM14" s="76">
        <v>12604</v>
      </c>
      <c r="AN14" s="76">
        <f t="shared" si="8"/>
        <v>20</v>
      </c>
      <c r="AO14" s="76">
        <v>85992</v>
      </c>
      <c r="AP14" s="227">
        <f t="shared" si="12"/>
        <v>0</v>
      </c>
      <c r="AQ14" s="76">
        <v>115817</v>
      </c>
      <c r="AR14" s="227">
        <f t="shared" si="9"/>
        <v>0</v>
      </c>
      <c r="AS14" s="49">
        <f t="shared" si="1"/>
        <v>0</v>
      </c>
      <c r="AT14" s="17"/>
      <c r="AV14" s="79"/>
      <c r="AW14" s="74"/>
      <c r="AX14" s="74"/>
    </row>
    <row r="15" spans="1:50" x14ac:dyDescent="0.25">
      <c r="B15" s="8">
        <f t="shared" si="10"/>
        <v>44935</v>
      </c>
      <c r="C15" s="392" t="str">
        <f t="shared" si="2"/>
        <v>Mon</v>
      </c>
      <c r="D15" s="402">
        <v>0.80788528000000004</v>
      </c>
      <c r="E15" s="180">
        <v>0.37749222000000004</v>
      </c>
      <c r="F15" s="180">
        <v>0.67753922</v>
      </c>
      <c r="G15" s="345">
        <f t="shared" si="3"/>
        <v>15555.354611999999</v>
      </c>
      <c r="H15" s="276"/>
      <c r="I15" s="363">
        <v>4679</v>
      </c>
      <c r="J15" s="344">
        <f t="shared" si="11"/>
        <v>0</v>
      </c>
      <c r="K15" s="351">
        <v>3926981</v>
      </c>
      <c r="L15" s="348">
        <f t="shared" si="13"/>
        <v>19700</v>
      </c>
      <c r="M15" s="395"/>
      <c r="N15" s="25"/>
      <c r="O15" s="22"/>
      <c r="P15" s="22"/>
      <c r="Q15" s="21"/>
      <c r="R15" s="22"/>
      <c r="S15" s="21"/>
      <c r="T15" s="109">
        <v>0</v>
      </c>
      <c r="U15" s="109">
        <v>0</v>
      </c>
      <c r="V15" s="105">
        <f t="shared" si="0"/>
        <v>0</v>
      </c>
      <c r="W15" s="109"/>
      <c r="X15" s="109"/>
      <c r="Y15" s="49">
        <f t="shared" si="4"/>
        <v>0</v>
      </c>
      <c r="Z15" s="44">
        <v>0</v>
      </c>
      <c r="AA15" s="44">
        <v>0</v>
      </c>
      <c r="AB15" s="44">
        <v>0</v>
      </c>
      <c r="AC15" s="106"/>
      <c r="AD15" s="245">
        <v>393.63</v>
      </c>
      <c r="AE15" s="243">
        <f t="shared" si="14"/>
        <v>1574.75</v>
      </c>
      <c r="AF15" s="371"/>
      <c r="AG15" s="7"/>
      <c r="AH15" s="7">
        <f t="shared" si="7"/>
        <v>0</v>
      </c>
      <c r="AI15" s="84">
        <v>688760</v>
      </c>
      <c r="AJ15" s="76">
        <f t="shared" si="5"/>
        <v>3599</v>
      </c>
      <c r="AK15" s="84">
        <v>85403</v>
      </c>
      <c r="AL15" s="76">
        <f t="shared" si="6"/>
        <v>389</v>
      </c>
      <c r="AM15" s="76">
        <v>12625</v>
      </c>
      <c r="AN15" s="76">
        <f t="shared" si="8"/>
        <v>21</v>
      </c>
      <c r="AO15" s="76">
        <v>85992</v>
      </c>
      <c r="AP15" s="227">
        <f t="shared" si="12"/>
        <v>0</v>
      </c>
      <c r="AQ15" s="76">
        <v>115817</v>
      </c>
      <c r="AR15" s="227">
        <f t="shared" si="9"/>
        <v>0</v>
      </c>
      <c r="AS15" s="49">
        <f t="shared" si="1"/>
        <v>0</v>
      </c>
      <c r="AT15" s="17"/>
      <c r="AV15" s="79"/>
      <c r="AW15" s="74"/>
      <c r="AX15" s="74"/>
    </row>
    <row r="16" spans="1:50" x14ac:dyDescent="0.25">
      <c r="B16" s="8">
        <f t="shared" si="10"/>
        <v>44936</v>
      </c>
      <c r="C16" s="392" t="str">
        <f t="shared" si="2"/>
        <v>Tue</v>
      </c>
      <c r="D16" s="402">
        <v>0.62378357000000006</v>
      </c>
      <c r="E16" s="180">
        <v>0.61629325999999995</v>
      </c>
      <c r="F16" s="180">
        <v>0.94125336000000004</v>
      </c>
      <c r="G16" s="345">
        <f t="shared" si="3"/>
        <v>18214.1070865</v>
      </c>
      <c r="H16" s="276"/>
      <c r="I16" s="363">
        <v>5509</v>
      </c>
      <c r="J16" s="344">
        <f t="shared" si="11"/>
        <v>830</v>
      </c>
      <c r="K16" s="352">
        <v>3951782</v>
      </c>
      <c r="L16" s="348">
        <f t="shared" si="13"/>
        <v>24801</v>
      </c>
      <c r="M16" s="394"/>
      <c r="N16" s="23"/>
      <c r="O16" s="22"/>
      <c r="P16" s="22"/>
      <c r="Q16" s="21"/>
      <c r="R16" s="22"/>
      <c r="S16" s="21"/>
      <c r="T16" s="109">
        <v>0</v>
      </c>
      <c r="U16" s="109">
        <v>0</v>
      </c>
      <c r="V16" s="105">
        <f t="shared" si="0"/>
        <v>0</v>
      </c>
      <c r="W16" s="109"/>
      <c r="X16" s="109"/>
      <c r="Y16" s="49">
        <f t="shared" si="4"/>
        <v>0</v>
      </c>
      <c r="Z16" s="44">
        <v>0</v>
      </c>
      <c r="AA16" s="44">
        <v>0</v>
      </c>
      <c r="AB16" s="44">
        <v>0</v>
      </c>
      <c r="AC16" s="106"/>
      <c r="AD16" s="244">
        <v>434.03</v>
      </c>
      <c r="AE16" s="243">
        <f t="shared" si="14"/>
        <v>2008.78</v>
      </c>
      <c r="AF16" s="371"/>
      <c r="AG16" s="7"/>
      <c r="AH16" s="7">
        <f t="shared" si="7"/>
        <v>0</v>
      </c>
      <c r="AI16" s="84">
        <v>692358</v>
      </c>
      <c r="AJ16" s="76">
        <f t="shared" si="5"/>
        <v>3598</v>
      </c>
      <c r="AK16" s="84">
        <v>85545</v>
      </c>
      <c r="AL16" s="76">
        <f t="shared" si="6"/>
        <v>142</v>
      </c>
      <c r="AM16" s="76">
        <v>12639</v>
      </c>
      <c r="AN16" s="76">
        <f t="shared" si="8"/>
        <v>14</v>
      </c>
      <c r="AO16" s="76">
        <v>85992</v>
      </c>
      <c r="AP16" s="227">
        <f t="shared" si="12"/>
        <v>0</v>
      </c>
      <c r="AQ16" s="76">
        <v>115817</v>
      </c>
      <c r="AR16" s="227">
        <f t="shared" si="9"/>
        <v>0</v>
      </c>
      <c r="AS16" s="49">
        <f t="shared" si="1"/>
        <v>0</v>
      </c>
      <c r="AT16" s="17"/>
      <c r="AV16" s="79"/>
      <c r="AW16" s="74"/>
      <c r="AX16" s="74"/>
    </row>
    <row r="17" spans="2:50" x14ac:dyDescent="0.25">
      <c r="B17" s="8">
        <f t="shared" si="10"/>
        <v>44937</v>
      </c>
      <c r="C17" s="392" t="str">
        <f t="shared" si="2"/>
        <v>Wed</v>
      </c>
      <c r="D17" s="402">
        <v>0.97945983999999997</v>
      </c>
      <c r="E17" s="180">
        <v>0.74553718999999996</v>
      </c>
      <c r="F17" s="180">
        <v>0.53229304999999993</v>
      </c>
      <c r="G17" s="345">
        <f t="shared" si="3"/>
        <v>18848.372167999998</v>
      </c>
      <c r="H17" s="275"/>
      <c r="I17" s="363">
        <v>5873</v>
      </c>
      <c r="J17" s="344">
        <f t="shared" si="11"/>
        <v>364</v>
      </c>
      <c r="K17" s="352">
        <v>3980117</v>
      </c>
      <c r="L17" s="348">
        <f t="shared" si="13"/>
        <v>28335</v>
      </c>
      <c r="M17" s="379"/>
      <c r="N17" s="26"/>
      <c r="O17" s="22"/>
      <c r="P17" s="22"/>
      <c r="Q17" s="21"/>
      <c r="R17" s="22"/>
      <c r="S17" s="21"/>
      <c r="T17" s="109">
        <v>0</v>
      </c>
      <c r="U17" s="109">
        <v>0</v>
      </c>
      <c r="V17" s="105">
        <f t="shared" ref="V17:V37" si="15">SUM(T17:U17)</f>
        <v>0</v>
      </c>
      <c r="W17" s="109"/>
      <c r="X17" s="109"/>
      <c r="Y17" s="49">
        <f t="shared" si="4"/>
        <v>0</v>
      </c>
      <c r="Z17" s="44">
        <v>0</v>
      </c>
      <c r="AA17" s="44">
        <v>0</v>
      </c>
      <c r="AB17" s="44">
        <v>0</v>
      </c>
      <c r="AC17" s="106"/>
      <c r="AD17" s="244">
        <v>306.38</v>
      </c>
      <c r="AE17" s="243">
        <f t="shared" si="14"/>
        <v>2315.16</v>
      </c>
      <c r="AF17" s="243"/>
      <c r="AG17" s="7"/>
      <c r="AH17" s="7">
        <f t="shared" si="7"/>
        <v>0</v>
      </c>
      <c r="AI17" s="84">
        <v>696000</v>
      </c>
      <c r="AJ17" s="76">
        <f t="shared" si="5"/>
        <v>3642</v>
      </c>
      <c r="AK17" s="84">
        <v>85965</v>
      </c>
      <c r="AL17" s="76">
        <f t="shared" si="6"/>
        <v>420</v>
      </c>
      <c r="AM17" s="76">
        <v>12661</v>
      </c>
      <c r="AN17" s="76">
        <f t="shared" si="8"/>
        <v>22</v>
      </c>
      <c r="AO17" s="76">
        <v>85992</v>
      </c>
      <c r="AP17" s="227">
        <f t="shared" si="12"/>
        <v>0</v>
      </c>
      <c r="AQ17" s="76">
        <v>115817</v>
      </c>
      <c r="AR17" s="227">
        <f t="shared" si="9"/>
        <v>0</v>
      </c>
      <c r="AS17" s="49">
        <f t="shared" si="1"/>
        <v>0</v>
      </c>
      <c r="AT17" s="17"/>
      <c r="AV17" s="79"/>
      <c r="AW17" s="74"/>
      <c r="AX17" s="74"/>
    </row>
    <row r="18" spans="2:50" x14ac:dyDescent="0.25">
      <c r="B18" s="8">
        <f t="shared" si="10"/>
        <v>44938</v>
      </c>
      <c r="C18" s="392" t="str">
        <f t="shared" si="2"/>
        <v>Thu</v>
      </c>
      <c r="D18" s="402">
        <v>0.70227127</v>
      </c>
      <c r="E18" s="180">
        <v>0.52048614999999998</v>
      </c>
      <c r="F18" s="180">
        <v>0.77192031999999999</v>
      </c>
      <c r="G18" s="345">
        <f t="shared" si="3"/>
        <v>16655.559129000001</v>
      </c>
      <c r="H18" s="275"/>
      <c r="I18" s="363">
        <v>6015</v>
      </c>
      <c r="J18" s="344">
        <f t="shared" si="11"/>
        <v>142</v>
      </c>
      <c r="K18" s="352">
        <v>4009883</v>
      </c>
      <c r="L18" s="348">
        <f t="shared" si="13"/>
        <v>29766</v>
      </c>
      <c r="M18" s="379"/>
      <c r="N18" s="26"/>
      <c r="O18" s="22"/>
      <c r="P18" s="22"/>
      <c r="Q18" s="21"/>
      <c r="R18" s="22"/>
      <c r="S18" s="21"/>
      <c r="T18" s="109">
        <v>0</v>
      </c>
      <c r="U18" s="109">
        <v>0</v>
      </c>
      <c r="V18" s="105">
        <f t="shared" si="15"/>
        <v>0</v>
      </c>
      <c r="W18" s="109"/>
      <c r="X18" s="109"/>
      <c r="Y18" s="49">
        <f t="shared" si="4"/>
        <v>0</v>
      </c>
      <c r="Z18" s="44">
        <v>0</v>
      </c>
      <c r="AA18" s="44">
        <v>0</v>
      </c>
      <c r="AB18" s="44">
        <v>0</v>
      </c>
      <c r="AC18" s="106"/>
      <c r="AD18" s="239">
        <v>278.64999999999998</v>
      </c>
      <c r="AE18" s="243">
        <f t="shared" si="14"/>
        <v>2593.81</v>
      </c>
      <c r="AF18" s="243"/>
      <c r="AG18" s="7"/>
      <c r="AH18" s="7">
        <f t="shared" si="7"/>
        <v>0</v>
      </c>
      <c r="AI18" s="84">
        <v>700455</v>
      </c>
      <c r="AJ18" s="76">
        <f t="shared" si="5"/>
        <v>4455</v>
      </c>
      <c r="AK18" s="84">
        <v>86385</v>
      </c>
      <c r="AL18" s="76">
        <f t="shared" si="6"/>
        <v>420</v>
      </c>
      <c r="AM18" s="76">
        <v>12680</v>
      </c>
      <c r="AN18" s="76">
        <f t="shared" si="8"/>
        <v>19</v>
      </c>
      <c r="AO18" s="76">
        <v>85992</v>
      </c>
      <c r="AP18" s="227">
        <f t="shared" si="12"/>
        <v>0</v>
      </c>
      <c r="AQ18" s="76">
        <v>115817</v>
      </c>
      <c r="AR18" s="227">
        <f t="shared" si="9"/>
        <v>0</v>
      </c>
      <c r="AS18" s="49">
        <f t="shared" si="1"/>
        <v>0</v>
      </c>
      <c r="AT18" s="17"/>
      <c r="AV18" s="79"/>
      <c r="AW18" s="74"/>
      <c r="AX18" s="74"/>
    </row>
    <row r="19" spans="2:50" x14ac:dyDescent="0.25">
      <c r="B19" s="8">
        <f t="shared" si="10"/>
        <v>44939</v>
      </c>
      <c r="C19" s="392" t="str">
        <f t="shared" si="2"/>
        <v>Fri</v>
      </c>
      <c r="D19" s="402">
        <v>0.49158996999999999</v>
      </c>
      <c r="E19" s="180">
        <v>0.80826164</v>
      </c>
      <c r="F19" s="180">
        <v>0.48391215999999998</v>
      </c>
      <c r="G19" s="345">
        <f t="shared" si="3"/>
        <v>14894.427479499998</v>
      </c>
      <c r="H19" s="276"/>
      <c r="I19" s="363">
        <v>6016</v>
      </c>
      <c r="J19" s="344">
        <f t="shared" si="11"/>
        <v>1</v>
      </c>
      <c r="K19" s="352">
        <v>4039682</v>
      </c>
      <c r="L19" s="348">
        <f t="shared" si="13"/>
        <v>29799</v>
      </c>
      <c r="M19" s="379"/>
      <c r="N19" s="26"/>
      <c r="O19" s="22"/>
      <c r="P19" s="22"/>
      <c r="Q19" s="21"/>
      <c r="R19" s="22"/>
      <c r="S19" s="21"/>
      <c r="T19" s="109">
        <v>0</v>
      </c>
      <c r="U19" s="109">
        <v>0</v>
      </c>
      <c r="V19" s="105">
        <f t="shared" si="15"/>
        <v>0</v>
      </c>
      <c r="W19" s="109"/>
      <c r="X19" s="103"/>
      <c r="Y19" s="49">
        <f t="shared" si="4"/>
        <v>0</v>
      </c>
      <c r="Z19" s="44">
        <v>0</v>
      </c>
      <c r="AA19" s="44">
        <v>0</v>
      </c>
      <c r="AB19" s="44">
        <v>0</v>
      </c>
      <c r="AC19" s="106"/>
      <c r="AD19" s="244">
        <v>245.26</v>
      </c>
      <c r="AE19" s="243">
        <f t="shared" si="14"/>
        <v>2839.0699999999997</v>
      </c>
      <c r="AF19" s="243"/>
      <c r="AG19" s="7"/>
      <c r="AH19" s="7">
        <f t="shared" si="7"/>
        <v>0</v>
      </c>
      <c r="AI19" s="84">
        <v>703654</v>
      </c>
      <c r="AJ19" s="76">
        <f t="shared" si="5"/>
        <v>3199</v>
      </c>
      <c r="AK19" s="84">
        <v>86719</v>
      </c>
      <c r="AL19" s="76">
        <f t="shared" si="6"/>
        <v>334</v>
      </c>
      <c r="AM19" s="76">
        <v>12700</v>
      </c>
      <c r="AN19" s="76">
        <f t="shared" si="8"/>
        <v>20</v>
      </c>
      <c r="AO19" s="76">
        <v>85992</v>
      </c>
      <c r="AP19" s="227">
        <f t="shared" si="12"/>
        <v>0</v>
      </c>
      <c r="AQ19" s="76">
        <v>115817</v>
      </c>
      <c r="AR19" s="227">
        <f t="shared" si="9"/>
        <v>0</v>
      </c>
      <c r="AS19" s="49">
        <f t="shared" si="1"/>
        <v>0</v>
      </c>
      <c r="AT19" s="17"/>
      <c r="AV19" s="79"/>
      <c r="AW19" s="74"/>
      <c r="AX19" s="74"/>
    </row>
    <row r="20" spans="2:50" x14ac:dyDescent="0.25">
      <c r="B20" s="8">
        <f t="shared" si="10"/>
        <v>44940</v>
      </c>
      <c r="C20" s="392" t="str">
        <f t="shared" si="2"/>
        <v>Sat</v>
      </c>
      <c r="D20" s="402">
        <v>0.58103866999999998</v>
      </c>
      <c r="E20" s="180">
        <v>0.29389694</v>
      </c>
      <c r="F20" s="180">
        <v>0.26091228</v>
      </c>
      <c r="G20" s="345">
        <f t="shared" si="3"/>
        <v>9484.3298814999998</v>
      </c>
      <c r="H20" s="276"/>
      <c r="I20" s="363">
        <v>6448</v>
      </c>
      <c r="J20" s="344">
        <f t="shared" si="11"/>
        <v>432</v>
      </c>
      <c r="K20" s="352">
        <v>4074067</v>
      </c>
      <c r="L20" s="348">
        <f t="shared" si="13"/>
        <v>34385</v>
      </c>
      <c r="M20" s="379"/>
      <c r="N20" s="26"/>
      <c r="O20" s="22"/>
      <c r="P20" s="22"/>
      <c r="Q20" s="21"/>
      <c r="R20" s="22"/>
      <c r="S20" s="21"/>
      <c r="T20" s="109">
        <v>0</v>
      </c>
      <c r="U20" s="109">
        <v>0</v>
      </c>
      <c r="V20" s="105">
        <f t="shared" si="15"/>
        <v>0</v>
      </c>
      <c r="W20" s="109"/>
      <c r="X20" s="103"/>
      <c r="Y20" s="49">
        <f t="shared" si="4"/>
        <v>0</v>
      </c>
      <c r="Z20" s="44">
        <v>0</v>
      </c>
      <c r="AA20" s="44">
        <v>0</v>
      </c>
      <c r="AB20" s="44">
        <v>0</v>
      </c>
      <c r="AC20" s="106"/>
      <c r="AD20" s="244">
        <v>234.47</v>
      </c>
      <c r="AE20" s="243">
        <f t="shared" si="14"/>
        <v>3073.5399999999995</v>
      </c>
      <c r="AF20" s="243"/>
      <c r="AG20" s="7"/>
      <c r="AH20" s="7">
        <f t="shared" si="7"/>
        <v>0</v>
      </c>
      <c r="AI20" s="84">
        <v>707907</v>
      </c>
      <c r="AJ20" s="76">
        <f t="shared" si="5"/>
        <v>4253</v>
      </c>
      <c r="AK20" s="84">
        <v>87143</v>
      </c>
      <c r="AL20" s="76">
        <f t="shared" si="6"/>
        <v>424</v>
      </c>
      <c r="AM20" s="76">
        <v>12724</v>
      </c>
      <c r="AN20" s="76">
        <f t="shared" si="8"/>
        <v>24</v>
      </c>
      <c r="AO20" s="76">
        <v>85992</v>
      </c>
      <c r="AP20" s="227">
        <f t="shared" si="12"/>
        <v>0</v>
      </c>
      <c r="AQ20" s="76">
        <v>115817</v>
      </c>
      <c r="AR20" s="227">
        <f t="shared" si="9"/>
        <v>0</v>
      </c>
      <c r="AS20" s="49">
        <f t="shared" si="1"/>
        <v>0</v>
      </c>
      <c r="AT20" s="17"/>
      <c r="AV20" s="79"/>
      <c r="AW20" s="74"/>
      <c r="AX20" s="74"/>
    </row>
    <row r="21" spans="2:50" x14ac:dyDescent="0.25">
      <c r="B21" s="8">
        <f t="shared" si="10"/>
        <v>44941</v>
      </c>
      <c r="C21" s="392" t="str">
        <f t="shared" si="2"/>
        <v>Sun</v>
      </c>
      <c r="D21" s="402">
        <v>0.93613754000000005</v>
      </c>
      <c r="E21" s="180">
        <v>0.98856102000000012</v>
      </c>
      <c r="F21" s="180">
        <v>0.85278580000000004</v>
      </c>
      <c r="G21" s="345">
        <f t="shared" si="3"/>
        <v>23191.994406000002</v>
      </c>
      <c r="H21" s="276"/>
      <c r="I21" s="363">
        <v>6448</v>
      </c>
      <c r="J21" s="344">
        <f t="shared" si="11"/>
        <v>0</v>
      </c>
      <c r="K21" s="352">
        <v>4084774</v>
      </c>
      <c r="L21" s="348">
        <f t="shared" si="13"/>
        <v>10707</v>
      </c>
      <c r="M21" s="379"/>
      <c r="N21" s="26"/>
      <c r="O21" s="22"/>
      <c r="P21" s="22"/>
      <c r="Q21" s="21"/>
      <c r="R21" s="22"/>
      <c r="S21" s="21"/>
      <c r="T21" s="109">
        <v>0</v>
      </c>
      <c r="U21" s="109">
        <v>0</v>
      </c>
      <c r="V21" s="105">
        <f t="shared" si="15"/>
        <v>0</v>
      </c>
      <c r="W21" s="109"/>
      <c r="X21" s="103"/>
      <c r="Y21" s="49">
        <f t="shared" si="4"/>
        <v>0</v>
      </c>
      <c r="Z21" s="44">
        <v>0</v>
      </c>
      <c r="AA21" s="44">
        <v>0</v>
      </c>
      <c r="AB21" s="44">
        <v>0</v>
      </c>
      <c r="AC21" s="106"/>
      <c r="AD21" s="244"/>
      <c r="AE21" s="243">
        <f t="shared" si="14"/>
        <v>3073.5399999999995</v>
      </c>
      <c r="AF21" s="243"/>
      <c r="AG21" s="7"/>
      <c r="AH21" s="7">
        <f t="shared" si="7"/>
        <v>0</v>
      </c>
      <c r="AI21" s="84">
        <v>711642</v>
      </c>
      <c r="AJ21" s="76">
        <f t="shared" si="5"/>
        <v>3735</v>
      </c>
      <c r="AK21" s="84">
        <v>87432</v>
      </c>
      <c r="AL21" s="76">
        <f t="shared" si="6"/>
        <v>289</v>
      </c>
      <c r="AM21" s="76">
        <v>12743</v>
      </c>
      <c r="AN21" s="76">
        <f t="shared" si="8"/>
        <v>19</v>
      </c>
      <c r="AO21" s="76">
        <v>85992</v>
      </c>
      <c r="AP21" s="227">
        <f t="shared" si="12"/>
        <v>0</v>
      </c>
      <c r="AQ21" s="76">
        <v>115817</v>
      </c>
      <c r="AR21" s="227">
        <f t="shared" si="9"/>
        <v>0</v>
      </c>
      <c r="AS21" s="49">
        <f t="shared" si="1"/>
        <v>0</v>
      </c>
      <c r="AT21" s="17"/>
      <c r="AW21" s="74"/>
      <c r="AX21" s="74"/>
    </row>
    <row r="22" spans="2:50" x14ac:dyDescent="0.25">
      <c r="B22" s="8">
        <f t="shared" si="10"/>
        <v>44942</v>
      </c>
      <c r="C22" s="392" t="str">
        <f t="shared" si="2"/>
        <v>Mon</v>
      </c>
      <c r="D22" s="402">
        <v>0.65773804000000002</v>
      </c>
      <c r="E22" s="180">
        <v>0.64872207999999998</v>
      </c>
      <c r="F22" s="180">
        <v>0.58111515000000002</v>
      </c>
      <c r="G22" s="345">
        <f t="shared" si="3"/>
        <v>15761.2535045</v>
      </c>
      <c r="H22" s="276"/>
      <c r="I22" s="363">
        <v>6767</v>
      </c>
      <c r="J22" s="344">
        <f t="shared" si="11"/>
        <v>319</v>
      </c>
      <c r="K22" s="351">
        <v>4110961</v>
      </c>
      <c r="L22" s="348">
        <f t="shared" si="13"/>
        <v>26187</v>
      </c>
      <c r="M22" s="379"/>
      <c r="N22" s="26"/>
      <c r="O22" s="22"/>
      <c r="P22" s="22"/>
      <c r="Q22" s="21"/>
      <c r="R22" s="22"/>
      <c r="S22" s="21"/>
      <c r="T22" s="109">
        <v>0</v>
      </c>
      <c r="U22" s="109">
        <v>0</v>
      </c>
      <c r="V22" s="105">
        <f t="shared" si="15"/>
        <v>0</v>
      </c>
      <c r="W22" s="109"/>
      <c r="X22" s="103"/>
      <c r="Y22" s="49">
        <f t="shared" si="4"/>
        <v>0</v>
      </c>
      <c r="Z22" s="44">
        <v>0</v>
      </c>
      <c r="AA22" s="44">
        <v>0</v>
      </c>
      <c r="AB22" s="44">
        <v>0</v>
      </c>
      <c r="AC22" s="106"/>
      <c r="AD22" s="244">
        <v>355.81</v>
      </c>
      <c r="AE22" s="243">
        <f t="shared" si="14"/>
        <v>3429.3499999999995</v>
      </c>
      <c r="AF22" s="243"/>
      <c r="AG22" s="7"/>
      <c r="AH22" s="7">
        <f t="shared" si="7"/>
        <v>0</v>
      </c>
      <c r="AI22" s="84">
        <v>715376</v>
      </c>
      <c r="AJ22" s="76">
        <f t="shared" si="5"/>
        <v>3734</v>
      </c>
      <c r="AK22" s="84">
        <v>87803</v>
      </c>
      <c r="AL22" s="76">
        <f t="shared" si="6"/>
        <v>371</v>
      </c>
      <c r="AM22" s="76">
        <v>12758</v>
      </c>
      <c r="AN22" s="76">
        <f t="shared" si="8"/>
        <v>15</v>
      </c>
      <c r="AO22" s="76">
        <v>85992</v>
      </c>
      <c r="AP22" s="227">
        <f t="shared" si="12"/>
        <v>0</v>
      </c>
      <c r="AQ22" s="76">
        <v>115817</v>
      </c>
      <c r="AR22" s="227">
        <f t="shared" si="9"/>
        <v>0</v>
      </c>
      <c r="AS22" s="49">
        <f t="shared" si="1"/>
        <v>0</v>
      </c>
      <c r="AT22" s="17"/>
      <c r="AW22" s="74"/>
      <c r="AX22" s="74"/>
    </row>
    <row r="23" spans="2:50" x14ac:dyDescent="0.25">
      <c r="B23" s="8">
        <f t="shared" si="10"/>
        <v>44943</v>
      </c>
      <c r="C23" s="392" t="str">
        <f t="shared" si="2"/>
        <v>Tue</v>
      </c>
      <c r="D23" s="402">
        <v>0.70513565</v>
      </c>
      <c r="E23" s="180">
        <v>0.67670333999999999</v>
      </c>
      <c r="F23" s="180">
        <v>0.74479218000000003</v>
      </c>
      <c r="G23" s="345">
        <f t="shared" si="3"/>
        <v>17757.370269499999</v>
      </c>
      <c r="H23" s="277"/>
      <c r="I23" s="363">
        <v>6767</v>
      </c>
      <c r="J23" s="344">
        <f t="shared" si="11"/>
        <v>0</v>
      </c>
      <c r="K23" s="351">
        <v>4131451</v>
      </c>
      <c r="L23" s="348">
        <f t="shared" si="13"/>
        <v>20490</v>
      </c>
      <c r="M23" s="379"/>
      <c r="N23" s="26"/>
      <c r="O23" s="22"/>
      <c r="P23" s="22"/>
      <c r="Q23" s="21"/>
      <c r="R23" s="22"/>
      <c r="S23" s="21"/>
      <c r="T23" s="109">
        <v>0</v>
      </c>
      <c r="U23" s="109">
        <v>0</v>
      </c>
      <c r="V23" s="105">
        <f t="shared" si="15"/>
        <v>0</v>
      </c>
      <c r="W23" s="109"/>
      <c r="X23" s="103"/>
      <c r="Y23" s="49">
        <f t="shared" si="4"/>
        <v>0</v>
      </c>
      <c r="Z23" s="44">
        <v>0</v>
      </c>
      <c r="AA23" s="44">
        <v>0</v>
      </c>
      <c r="AB23" s="44">
        <v>0</v>
      </c>
      <c r="AC23" s="106"/>
      <c r="AD23" s="244">
        <v>317.76</v>
      </c>
      <c r="AE23" s="243">
        <f t="shared" si="14"/>
        <v>3747.1099999999997</v>
      </c>
      <c r="AF23" s="243"/>
      <c r="AG23" s="7"/>
      <c r="AH23" s="7">
        <f t="shared" si="7"/>
        <v>0</v>
      </c>
      <c r="AI23" s="84">
        <v>719544</v>
      </c>
      <c r="AJ23" s="76">
        <f t="shared" si="5"/>
        <v>4168</v>
      </c>
      <c r="AK23" s="84">
        <v>88170</v>
      </c>
      <c r="AL23" s="76">
        <f t="shared" si="6"/>
        <v>367</v>
      </c>
      <c r="AM23" s="76">
        <v>12777</v>
      </c>
      <c r="AN23" s="76">
        <f t="shared" si="8"/>
        <v>19</v>
      </c>
      <c r="AO23" s="76">
        <v>85992</v>
      </c>
      <c r="AP23" s="227">
        <f t="shared" si="12"/>
        <v>0</v>
      </c>
      <c r="AQ23" s="76">
        <v>115817</v>
      </c>
      <c r="AR23" s="227">
        <f t="shared" si="9"/>
        <v>0</v>
      </c>
      <c r="AS23" s="49">
        <f t="shared" si="1"/>
        <v>0</v>
      </c>
      <c r="AT23" s="17"/>
    </row>
    <row r="24" spans="2:50" x14ac:dyDescent="0.25">
      <c r="B24" s="8">
        <f t="shared" si="10"/>
        <v>44944</v>
      </c>
      <c r="C24" s="392" t="str">
        <f t="shared" si="2"/>
        <v>Wed</v>
      </c>
      <c r="D24" s="402">
        <v>0.64235427999999994</v>
      </c>
      <c r="E24" s="180">
        <v>0.63910347000000001</v>
      </c>
      <c r="F24" s="180">
        <v>0.52823788000000005</v>
      </c>
      <c r="G24" s="345">
        <f t="shared" si="3"/>
        <v>15110.958510500001</v>
      </c>
      <c r="H24" s="277"/>
      <c r="I24" s="363">
        <v>7189</v>
      </c>
      <c r="J24" s="344">
        <f t="shared" si="11"/>
        <v>422</v>
      </c>
      <c r="K24" s="351">
        <v>4156960</v>
      </c>
      <c r="L24" s="348">
        <f t="shared" si="13"/>
        <v>25509</v>
      </c>
      <c r="M24" s="379"/>
      <c r="N24" s="26"/>
      <c r="O24" s="22"/>
      <c r="P24" s="22"/>
      <c r="Q24" s="21"/>
      <c r="R24" s="22"/>
      <c r="S24" s="21"/>
      <c r="T24" s="109">
        <v>0</v>
      </c>
      <c r="U24" s="109">
        <v>0</v>
      </c>
      <c r="V24" s="105">
        <f t="shared" si="15"/>
        <v>0</v>
      </c>
      <c r="W24" s="109"/>
      <c r="X24" s="103"/>
      <c r="Y24" s="49">
        <f t="shared" si="4"/>
        <v>0</v>
      </c>
      <c r="Z24" s="44">
        <v>0</v>
      </c>
      <c r="AA24" s="44">
        <v>0</v>
      </c>
      <c r="AB24" s="44">
        <v>0</v>
      </c>
      <c r="AC24" s="106"/>
      <c r="AD24" s="244">
        <v>147.75</v>
      </c>
      <c r="AE24" s="243">
        <f t="shared" si="14"/>
        <v>3894.8599999999997</v>
      </c>
      <c r="AF24" s="243"/>
      <c r="AG24" s="7"/>
      <c r="AH24" s="7">
        <f t="shared" si="7"/>
        <v>0</v>
      </c>
      <c r="AI24" s="84">
        <v>724076</v>
      </c>
      <c r="AJ24" s="76">
        <f t="shared" si="5"/>
        <v>4532</v>
      </c>
      <c r="AK24" s="84">
        <v>88541</v>
      </c>
      <c r="AL24" s="76">
        <f t="shared" si="6"/>
        <v>371</v>
      </c>
      <c r="AM24" s="76">
        <v>12797</v>
      </c>
      <c r="AN24" s="76">
        <f t="shared" si="8"/>
        <v>20</v>
      </c>
      <c r="AO24" s="76">
        <v>85992</v>
      </c>
      <c r="AP24" s="227">
        <f t="shared" si="12"/>
        <v>0</v>
      </c>
      <c r="AQ24" s="76">
        <v>115817</v>
      </c>
      <c r="AR24" s="227">
        <f t="shared" si="9"/>
        <v>0</v>
      </c>
      <c r="AS24" s="49">
        <f t="shared" si="1"/>
        <v>0</v>
      </c>
      <c r="AT24" s="17"/>
      <c r="AV24" s="74"/>
    </row>
    <row r="25" spans="2:50" x14ac:dyDescent="0.25">
      <c r="B25" s="8">
        <f t="shared" si="10"/>
        <v>44945</v>
      </c>
      <c r="C25" s="392" t="str">
        <f t="shared" si="2"/>
        <v>Thu</v>
      </c>
      <c r="D25" s="402">
        <v>0.67792525999999997</v>
      </c>
      <c r="E25" s="180">
        <v>0.59751204999999996</v>
      </c>
      <c r="F25" s="180">
        <v>0.69770554000000007</v>
      </c>
      <c r="G25" s="345">
        <f t="shared" si="3"/>
        <v>16475.742797499999</v>
      </c>
      <c r="H25" s="277"/>
      <c r="I25" s="363">
        <v>7189</v>
      </c>
      <c r="J25" s="344">
        <f t="shared" si="11"/>
        <v>0</v>
      </c>
      <c r="K25" s="351">
        <v>4181696</v>
      </c>
      <c r="L25" s="348">
        <f t="shared" si="13"/>
        <v>24736</v>
      </c>
      <c r="M25" s="379"/>
      <c r="N25" s="26"/>
      <c r="O25" s="22"/>
      <c r="P25" s="22"/>
      <c r="Q25" s="21"/>
      <c r="R25" s="22"/>
      <c r="S25" s="21"/>
      <c r="T25" s="109">
        <v>0</v>
      </c>
      <c r="U25" s="109">
        <v>0</v>
      </c>
      <c r="V25" s="105">
        <f t="shared" si="15"/>
        <v>0</v>
      </c>
      <c r="W25" s="109"/>
      <c r="X25" s="103"/>
      <c r="Y25" s="49">
        <f t="shared" si="4"/>
        <v>0</v>
      </c>
      <c r="Z25" s="44">
        <v>0</v>
      </c>
      <c r="AA25" s="44">
        <v>0</v>
      </c>
      <c r="AB25" s="44">
        <v>0</v>
      </c>
      <c r="AC25" s="106"/>
      <c r="AD25" s="244">
        <v>247.38</v>
      </c>
      <c r="AE25" s="243">
        <f>AD25+AE24</f>
        <v>4142.24</v>
      </c>
      <c r="AF25" s="243"/>
      <c r="AG25" s="335"/>
      <c r="AH25" s="7">
        <f t="shared" si="7"/>
        <v>0</v>
      </c>
      <c r="AI25" s="84">
        <v>728549</v>
      </c>
      <c r="AJ25" s="76">
        <f t="shared" si="5"/>
        <v>4473</v>
      </c>
      <c r="AK25" s="84">
        <v>88920</v>
      </c>
      <c r="AL25" s="76">
        <f t="shared" si="6"/>
        <v>379</v>
      </c>
      <c r="AM25" s="76">
        <v>12813</v>
      </c>
      <c r="AN25" s="76">
        <f t="shared" si="8"/>
        <v>16</v>
      </c>
      <c r="AO25" s="76">
        <v>85992</v>
      </c>
      <c r="AP25" s="227">
        <f t="shared" si="12"/>
        <v>0</v>
      </c>
      <c r="AQ25" s="76">
        <v>115817</v>
      </c>
      <c r="AR25" s="227">
        <f t="shared" si="9"/>
        <v>0</v>
      </c>
      <c r="AS25" s="49">
        <f t="shared" si="1"/>
        <v>0</v>
      </c>
      <c r="AT25" s="17"/>
      <c r="AV25" s="74"/>
    </row>
    <row r="26" spans="2:50" x14ac:dyDescent="0.25">
      <c r="B26" s="8">
        <f t="shared" si="10"/>
        <v>44946</v>
      </c>
      <c r="C26" s="392" t="str">
        <f t="shared" si="2"/>
        <v>Fri</v>
      </c>
      <c r="D26" s="402">
        <v>0.62888518999999998</v>
      </c>
      <c r="E26" s="180">
        <v>0.65103012000000005</v>
      </c>
      <c r="F26" s="180">
        <v>0.62734614999999994</v>
      </c>
      <c r="G26" s="345">
        <f t="shared" si="3"/>
        <v>15925.633191000001</v>
      </c>
      <c r="H26" s="277"/>
      <c r="I26" s="363">
        <v>7472</v>
      </c>
      <c r="J26" s="344">
        <f t="shared" si="11"/>
        <v>283</v>
      </c>
      <c r="K26" s="351">
        <v>4207697</v>
      </c>
      <c r="L26" s="348">
        <f t="shared" si="13"/>
        <v>26001</v>
      </c>
      <c r="M26" s="379"/>
      <c r="N26" s="26"/>
      <c r="O26" s="22"/>
      <c r="P26" s="22"/>
      <c r="Q26" s="21"/>
      <c r="R26" s="22"/>
      <c r="S26" s="21"/>
      <c r="T26" s="109">
        <v>0</v>
      </c>
      <c r="U26" s="109">
        <v>0</v>
      </c>
      <c r="V26" s="105">
        <f t="shared" si="15"/>
        <v>0</v>
      </c>
      <c r="W26" s="109"/>
      <c r="X26" s="103"/>
      <c r="Y26" s="49">
        <f t="shared" si="4"/>
        <v>0</v>
      </c>
      <c r="Z26" s="44">
        <v>0</v>
      </c>
      <c r="AA26" s="44">
        <v>0</v>
      </c>
      <c r="AB26" s="44">
        <v>0</v>
      </c>
      <c r="AC26" s="106"/>
      <c r="AD26" s="244">
        <v>286.20999999999998</v>
      </c>
      <c r="AE26" s="243">
        <f>AD26+AE25</f>
        <v>4428.45</v>
      </c>
      <c r="AF26" s="243"/>
      <c r="AG26" s="336"/>
      <c r="AH26" s="7">
        <f t="shared" si="7"/>
        <v>0</v>
      </c>
      <c r="AI26" s="84">
        <v>732882</v>
      </c>
      <c r="AJ26" s="76">
        <f t="shared" si="5"/>
        <v>4333</v>
      </c>
      <c r="AK26" s="84">
        <v>89301</v>
      </c>
      <c r="AL26" s="76">
        <f t="shared" si="6"/>
        <v>381</v>
      </c>
      <c r="AM26" s="76">
        <v>12833</v>
      </c>
      <c r="AN26" s="76">
        <f t="shared" si="8"/>
        <v>20</v>
      </c>
      <c r="AO26" s="76">
        <v>85992</v>
      </c>
      <c r="AP26" s="227">
        <f t="shared" si="12"/>
        <v>0</v>
      </c>
      <c r="AQ26" s="76">
        <v>115817</v>
      </c>
      <c r="AR26" s="227">
        <f t="shared" si="9"/>
        <v>0</v>
      </c>
      <c r="AS26" s="49">
        <f t="shared" si="1"/>
        <v>0</v>
      </c>
      <c r="AT26" s="17"/>
      <c r="AV26" s="74"/>
    </row>
    <row r="27" spans="2:50" x14ac:dyDescent="0.25">
      <c r="B27" s="8">
        <f t="shared" si="10"/>
        <v>44947</v>
      </c>
      <c r="C27" s="392" t="str">
        <f t="shared" si="2"/>
        <v>Sat</v>
      </c>
      <c r="D27" s="402">
        <v>0.33204285</v>
      </c>
      <c r="E27" s="180">
        <v>0.25413139000000001</v>
      </c>
      <c r="F27" s="180">
        <v>0.31051677999999999</v>
      </c>
      <c r="G27" s="345">
        <f t="shared" si="3"/>
        <v>7487.3700170000011</v>
      </c>
      <c r="H27" s="277"/>
      <c r="I27" s="363">
        <v>7472</v>
      </c>
      <c r="J27" s="344">
        <f t="shared" si="11"/>
        <v>0</v>
      </c>
      <c r="K27" s="351">
        <v>4222162</v>
      </c>
      <c r="L27" s="348">
        <f t="shared" si="13"/>
        <v>14465</v>
      </c>
      <c r="M27" s="379"/>
      <c r="N27" s="26"/>
      <c r="O27" s="22"/>
      <c r="P27" s="22"/>
      <c r="Q27" s="21"/>
      <c r="R27" s="22"/>
      <c r="S27" s="21"/>
      <c r="T27" s="109">
        <v>0</v>
      </c>
      <c r="U27" s="109">
        <v>0</v>
      </c>
      <c r="V27" s="107">
        <f t="shared" si="15"/>
        <v>0</v>
      </c>
      <c r="W27" s="109"/>
      <c r="X27" s="103"/>
      <c r="Y27" s="49">
        <f t="shared" si="4"/>
        <v>0</v>
      </c>
      <c r="Z27" s="44">
        <v>0</v>
      </c>
      <c r="AA27" s="44">
        <v>0</v>
      </c>
      <c r="AB27" s="44">
        <v>0</v>
      </c>
      <c r="AC27" s="106"/>
      <c r="AD27" s="244">
        <v>148.78</v>
      </c>
      <c r="AE27" s="243">
        <f t="shared" si="14"/>
        <v>4577.2299999999996</v>
      </c>
      <c r="AF27" s="243"/>
      <c r="AG27" s="136"/>
      <c r="AH27" s="7">
        <f t="shared" si="7"/>
        <v>0</v>
      </c>
      <c r="AI27" s="84">
        <v>737346</v>
      </c>
      <c r="AJ27" s="76">
        <f t="shared" si="5"/>
        <v>4464</v>
      </c>
      <c r="AK27" s="84">
        <v>89697</v>
      </c>
      <c r="AL27" s="76">
        <f t="shared" si="6"/>
        <v>396</v>
      </c>
      <c r="AM27" s="76">
        <v>12853</v>
      </c>
      <c r="AN27" s="76">
        <f t="shared" si="8"/>
        <v>20</v>
      </c>
      <c r="AO27" s="76">
        <v>85992</v>
      </c>
      <c r="AP27" s="227">
        <f t="shared" si="12"/>
        <v>0</v>
      </c>
      <c r="AQ27" s="76">
        <v>115817</v>
      </c>
      <c r="AR27" s="227">
        <f t="shared" si="9"/>
        <v>0</v>
      </c>
      <c r="AS27" s="49">
        <f t="shared" si="1"/>
        <v>0</v>
      </c>
      <c r="AT27" s="17"/>
      <c r="AV27" s="74"/>
    </row>
    <row r="28" spans="2:50" ht="15" x14ac:dyDescent="0.25">
      <c r="B28" s="8">
        <f t="shared" si="10"/>
        <v>44948</v>
      </c>
      <c r="C28" s="392" t="str">
        <f t="shared" si="2"/>
        <v>Sun</v>
      </c>
      <c r="D28" s="402">
        <v>0.90630584999999997</v>
      </c>
      <c r="E28" s="180">
        <v>0.94457466000000001</v>
      </c>
      <c r="F28" s="180">
        <v>0.56481274000000004</v>
      </c>
      <c r="G28" s="345">
        <f t="shared" si="3"/>
        <v>20171.038637500002</v>
      </c>
      <c r="H28" s="277"/>
      <c r="I28" s="363">
        <v>7886</v>
      </c>
      <c r="J28" s="344">
        <f t="shared" si="11"/>
        <v>414</v>
      </c>
      <c r="K28" s="351">
        <v>4251907</v>
      </c>
      <c r="L28" s="348">
        <f t="shared" si="13"/>
        <v>29745</v>
      </c>
      <c r="M28" s="379"/>
      <c r="N28" s="26"/>
      <c r="O28" s="22"/>
      <c r="P28" s="22"/>
      <c r="Q28" s="21"/>
      <c r="R28" s="22"/>
      <c r="S28" s="21"/>
      <c r="T28" s="109">
        <v>0</v>
      </c>
      <c r="U28" s="109">
        <v>0</v>
      </c>
      <c r="V28" s="107">
        <f t="shared" si="15"/>
        <v>0</v>
      </c>
      <c r="W28" s="109"/>
      <c r="X28" s="103"/>
      <c r="Y28" s="49">
        <f t="shared" si="4"/>
        <v>0</v>
      </c>
      <c r="Z28" s="44">
        <v>0</v>
      </c>
      <c r="AA28" s="44">
        <v>0</v>
      </c>
      <c r="AB28" s="44">
        <v>0</v>
      </c>
      <c r="AC28" s="106"/>
      <c r="AD28" s="246"/>
      <c r="AE28" s="243">
        <f t="shared" si="14"/>
        <v>4577.2299999999996</v>
      </c>
      <c r="AF28" s="243"/>
      <c r="AG28" s="136"/>
      <c r="AH28" s="7">
        <f t="shared" si="7"/>
        <v>0</v>
      </c>
      <c r="AI28" s="84">
        <v>740512</v>
      </c>
      <c r="AJ28" s="76">
        <f t="shared" si="5"/>
        <v>3166</v>
      </c>
      <c r="AK28" s="84">
        <v>90059</v>
      </c>
      <c r="AL28" s="76">
        <f t="shared" si="6"/>
        <v>362</v>
      </c>
      <c r="AM28" s="76">
        <v>12872</v>
      </c>
      <c r="AN28" s="76">
        <f t="shared" si="8"/>
        <v>19</v>
      </c>
      <c r="AO28" s="76">
        <v>85992</v>
      </c>
      <c r="AP28" s="227">
        <f t="shared" si="12"/>
        <v>0</v>
      </c>
      <c r="AQ28" s="76">
        <v>115817</v>
      </c>
      <c r="AR28" s="227">
        <f t="shared" si="9"/>
        <v>0</v>
      </c>
      <c r="AS28" s="49">
        <f t="shared" si="1"/>
        <v>0</v>
      </c>
      <c r="AT28" s="17"/>
      <c r="AV28" s="74"/>
    </row>
    <row r="29" spans="2:50" x14ac:dyDescent="0.25">
      <c r="B29" s="8">
        <f t="shared" si="10"/>
        <v>44949</v>
      </c>
      <c r="C29" s="392" t="str">
        <f t="shared" si="2"/>
        <v>Mon</v>
      </c>
      <c r="D29" s="402">
        <v>0.63233658000000004</v>
      </c>
      <c r="E29" s="180">
        <v>0.62848419</v>
      </c>
      <c r="F29" s="180">
        <v>0.58087688000000004</v>
      </c>
      <c r="G29" s="345">
        <f t="shared" si="3"/>
        <v>15378.1753775</v>
      </c>
      <c r="H29" s="277"/>
      <c r="I29" s="363">
        <v>8121</v>
      </c>
      <c r="J29" s="344">
        <f t="shared" si="11"/>
        <v>235</v>
      </c>
      <c r="K29" s="353">
        <v>4275085</v>
      </c>
      <c r="L29" s="348">
        <f t="shared" si="13"/>
        <v>23178</v>
      </c>
      <c r="M29" s="379"/>
      <c r="N29" s="26"/>
      <c r="O29" s="22"/>
      <c r="P29" s="22"/>
      <c r="Q29" s="21"/>
      <c r="R29" s="22"/>
      <c r="S29" s="21"/>
      <c r="T29" s="109">
        <v>0</v>
      </c>
      <c r="U29" s="109">
        <v>0</v>
      </c>
      <c r="V29" s="107">
        <f t="shared" si="15"/>
        <v>0</v>
      </c>
      <c r="W29" s="109"/>
      <c r="X29" s="103"/>
      <c r="Y29" s="49">
        <f t="shared" si="4"/>
        <v>0</v>
      </c>
      <c r="Z29" s="44">
        <v>0</v>
      </c>
      <c r="AA29" s="44">
        <v>0</v>
      </c>
      <c r="AB29" s="44">
        <v>0</v>
      </c>
      <c r="AC29" s="106"/>
      <c r="AD29" s="244">
        <v>365.96</v>
      </c>
      <c r="AE29" s="243">
        <f t="shared" si="14"/>
        <v>4943.1899999999996</v>
      </c>
      <c r="AF29" s="243"/>
      <c r="AG29" s="136"/>
      <c r="AH29" s="7">
        <f t="shared" si="7"/>
        <v>0</v>
      </c>
      <c r="AI29" s="84">
        <v>745269</v>
      </c>
      <c r="AJ29" s="76">
        <f t="shared" si="5"/>
        <v>4757</v>
      </c>
      <c r="AK29" s="84">
        <v>90380</v>
      </c>
      <c r="AL29" s="76">
        <f t="shared" si="6"/>
        <v>321</v>
      </c>
      <c r="AM29" s="76">
        <v>12893</v>
      </c>
      <c r="AN29" s="76">
        <f t="shared" si="8"/>
        <v>21</v>
      </c>
      <c r="AO29" s="76">
        <v>85992</v>
      </c>
      <c r="AP29" s="227">
        <f t="shared" si="12"/>
        <v>0</v>
      </c>
      <c r="AQ29" s="76">
        <v>115817</v>
      </c>
      <c r="AR29" s="227">
        <f t="shared" si="9"/>
        <v>0</v>
      </c>
      <c r="AS29" s="49">
        <f t="shared" si="1"/>
        <v>0</v>
      </c>
      <c r="AT29" s="17"/>
      <c r="AV29" s="74"/>
    </row>
    <row r="30" spans="2:50" x14ac:dyDescent="0.25">
      <c r="B30" s="8">
        <f t="shared" si="10"/>
        <v>44950</v>
      </c>
      <c r="C30" s="392" t="str">
        <f t="shared" si="2"/>
        <v>Tue</v>
      </c>
      <c r="D30" s="402">
        <v>0.68283782999999998</v>
      </c>
      <c r="E30" s="180">
        <v>0.48627037000000001</v>
      </c>
      <c r="F30" s="180">
        <v>0.52730511000000002</v>
      </c>
      <c r="G30" s="345">
        <f t="shared" si="3"/>
        <v>14165.051138499999</v>
      </c>
      <c r="H30" s="277"/>
      <c r="I30" s="363">
        <v>8355</v>
      </c>
      <c r="J30" s="344">
        <f t="shared" si="11"/>
        <v>234</v>
      </c>
      <c r="K30" s="353">
        <v>4294730</v>
      </c>
      <c r="L30" s="348">
        <f t="shared" si="13"/>
        <v>19645</v>
      </c>
      <c r="M30" s="379"/>
      <c r="N30" s="26"/>
      <c r="O30" s="22"/>
      <c r="P30" s="22"/>
      <c r="Q30" s="21"/>
      <c r="R30" s="22"/>
      <c r="S30" s="21"/>
      <c r="T30" s="109">
        <v>0</v>
      </c>
      <c r="U30" s="109">
        <v>0</v>
      </c>
      <c r="V30" s="107">
        <f t="shared" si="15"/>
        <v>0</v>
      </c>
      <c r="W30" s="109"/>
      <c r="X30" s="103"/>
      <c r="Y30" s="49">
        <f t="shared" si="4"/>
        <v>0</v>
      </c>
      <c r="Z30" s="44">
        <v>0</v>
      </c>
      <c r="AA30" s="44">
        <v>0</v>
      </c>
      <c r="AB30" s="44">
        <v>0</v>
      </c>
      <c r="AC30" s="106"/>
      <c r="AD30" s="244">
        <v>293.97000000000003</v>
      </c>
      <c r="AE30" s="243">
        <f t="shared" si="14"/>
        <v>5237.16</v>
      </c>
      <c r="AF30" s="243"/>
      <c r="AG30" s="7"/>
      <c r="AH30" s="7">
        <f t="shared" si="7"/>
        <v>0</v>
      </c>
      <c r="AI30" s="84">
        <v>748985</v>
      </c>
      <c r="AJ30" s="76">
        <f t="shared" si="5"/>
        <v>3716</v>
      </c>
      <c r="AK30" s="84">
        <v>90689</v>
      </c>
      <c r="AL30" s="76">
        <f t="shared" si="6"/>
        <v>309</v>
      </c>
      <c r="AM30" s="76">
        <v>12912</v>
      </c>
      <c r="AN30" s="76">
        <f t="shared" si="8"/>
        <v>19</v>
      </c>
      <c r="AO30" s="76">
        <v>85992</v>
      </c>
      <c r="AP30" s="227">
        <f t="shared" si="12"/>
        <v>0</v>
      </c>
      <c r="AQ30" s="76">
        <v>115817</v>
      </c>
      <c r="AR30" s="227">
        <f t="shared" si="9"/>
        <v>0</v>
      </c>
      <c r="AS30" s="49">
        <f t="shared" si="1"/>
        <v>0</v>
      </c>
      <c r="AT30" s="17"/>
    </row>
    <row r="31" spans="2:50" x14ac:dyDescent="0.25">
      <c r="B31" s="8">
        <f t="shared" si="10"/>
        <v>44951</v>
      </c>
      <c r="C31" s="392" t="str">
        <f t="shared" si="2"/>
        <v>Wed</v>
      </c>
      <c r="D31" s="402">
        <v>0.6844798299999999</v>
      </c>
      <c r="E31" s="180">
        <v>0.58187111000000002</v>
      </c>
      <c r="F31" s="180">
        <v>0.58921520000000005</v>
      </c>
      <c r="G31" s="345">
        <f t="shared" si="3"/>
        <v>15493.977269000001</v>
      </c>
      <c r="H31" s="277"/>
      <c r="I31" s="363">
        <v>8431</v>
      </c>
      <c r="J31" s="344">
        <f t="shared" si="11"/>
        <v>76</v>
      </c>
      <c r="K31" s="353">
        <v>4317661</v>
      </c>
      <c r="L31" s="348">
        <f t="shared" si="13"/>
        <v>22931</v>
      </c>
      <c r="M31" s="379"/>
      <c r="N31" s="26"/>
      <c r="O31" s="22"/>
      <c r="P31" s="22"/>
      <c r="Q31" s="21"/>
      <c r="R31" s="22"/>
      <c r="S31" s="21"/>
      <c r="T31" s="109">
        <v>0</v>
      </c>
      <c r="U31" s="109">
        <v>0</v>
      </c>
      <c r="V31" s="107">
        <f t="shared" si="15"/>
        <v>0</v>
      </c>
      <c r="W31" s="109"/>
      <c r="X31" s="103"/>
      <c r="Y31" s="49">
        <f t="shared" si="4"/>
        <v>0</v>
      </c>
      <c r="Z31" s="44">
        <v>0</v>
      </c>
      <c r="AA31" s="44">
        <v>0</v>
      </c>
      <c r="AB31" s="44">
        <v>0</v>
      </c>
      <c r="AC31" s="106"/>
      <c r="AD31" s="247">
        <v>193.26</v>
      </c>
      <c r="AE31" s="243">
        <f t="shared" si="14"/>
        <v>5430.42</v>
      </c>
      <c r="AF31" s="243"/>
      <c r="AG31" s="7"/>
      <c r="AH31" s="7">
        <f t="shared" si="7"/>
        <v>0</v>
      </c>
      <c r="AI31" s="84">
        <v>753268</v>
      </c>
      <c r="AJ31" s="76">
        <f t="shared" si="5"/>
        <v>4283</v>
      </c>
      <c r="AK31" s="84">
        <v>91014</v>
      </c>
      <c r="AL31" s="76">
        <f t="shared" si="6"/>
        <v>325</v>
      </c>
      <c r="AM31" s="76">
        <v>12928</v>
      </c>
      <c r="AN31" s="76">
        <f t="shared" si="8"/>
        <v>16</v>
      </c>
      <c r="AO31" s="76">
        <v>85992</v>
      </c>
      <c r="AP31" s="227">
        <f t="shared" si="12"/>
        <v>0</v>
      </c>
      <c r="AQ31" s="76">
        <v>115817</v>
      </c>
      <c r="AR31" s="227">
        <f t="shared" si="9"/>
        <v>0</v>
      </c>
      <c r="AS31" s="49">
        <f t="shared" si="1"/>
        <v>0</v>
      </c>
      <c r="AT31" s="17"/>
    </row>
    <row r="32" spans="2:50" x14ac:dyDescent="0.25">
      <c r="B32" s="8">
        <f t="shared" si="10"/>
        <v>44952</v>
      </c>
      <c r="C32" s="392" t="str">
        <f t="shared" si="2"/>
        <v>Thu</v>
      </c>
      <c r="D32" s="402">
        <v>0.62817261000000002</v>
      </c>
      <c r="E32" s="180">
        <v>0.71476310999999992</v>
      </c>
      <c r="F32" s="180">
        <v>0.52305301999999998</v>
      </c>
      <c r="G32" s="345">
        <f t="shared" si="3"/>
        <v>15581.005979000001</v>
      </c>
      <c r="H32" s="277"/>
      <c r="I32" s="363">
        <v>8538</v>
      </c>
      <c r="J32" s="344">
        <f t="shared" si="11"/>
        <v>107</v>
      </c>
      <c r="K32" s="354">
        <v>4342026</v>
      </c>
      <c r="L32" s="348">
        <f t="shared" si="13"/>
        <v>24365</v>
      </c>
      <c r="M32" s="379"/>
      <c r="N32" s="26"/>
      <c r="O32" s="22"/>
      <c r="P32" s="22"/>
      <c r="Q32" s="21"/>
      <c r="R32" s="22"/>
      <c r="S32" s="21"/>
      <c r="T32" s="109">
        <v>0</v>
      </c>
      <c r="U32" s="109">
        <v>0</v>
      </c>
      <c r="V32" s="107">
        <f t="shared" si="15"/>
        <v>0</v>
      </c>
      <c r="W32" s="109"/>
      <c r="X32" s="103"/>
      <c r="Y32" s="49">
        <f t="shared" si="4"/>
        <v>0</v>
      </c>
      <c r="Z32" s="44">
        <v>0</v>
      </c>
      <c r="AA32" s="44">
        <v>0</v>
      </c>
      <c r="AB32" s="44">
        <v>0</v>
      </c>
      <c r="AC32" s="106"/>
      <c r="AD32" s="247">
        <v>194.97</v>
      </c>
      <c r="AE32" s="243">
        <f t="shared" si="14"/>
        <v>5625.39</v>
      </c>
      <c r="AF32" s="243"/>
      <c r="AG32" s="7"/>
      <c r="AH32" s="7">
        <f t="shared" si="7"/>
        <v>0</v>
      </c>
      <c r="AI32" s="84">
        <v>757334</v>
      </c>
      <c r="AJ32" s="76">
        <f t="shared" si="5"/>
        <v>4066</v>
      </c>
      <c r="AK32" s="84">
        <v>91370</v>
      </c>
      <c r="AL32" s="76">
        <f t="shared" si="6"/>
        <v>356</v>
      </c>
      <c r="AM32" s="76">
        <v>12947</v>
      </c>
      <c r="AN32" s="76">
        <f t="shared" si="8"/>
        <v>19</v>
      </c>
      <c r="AO32" s="76">
        <v>85992</v>
      </c>
      <c r="AP32" s="227">
        <f t="shared" si="12"/>
        <v>0</v>
      </c>
      <c r="AQ32" s="76">
        <v>115817</v>
      </c>
      <c r="AR32" s="227">
        <f t="shared" si="9"/>
        <v>0</v>
      </c>
      <c r="AS32" s="49">
        <f t="shared" si="1"/>
        <v>0</v>
      </c>
      <c r="AT32" s="17"/>
    </row>
    <row r="33" spans="2:46" x14ac:dyDescent="0.25">
      <c r="B33" s="8">
        <f t="shared" si="10"/>
        <v>44953</v>
      </c>
      <c r="C33" s="392" t="str">
        <f t="shared" si="2"/>
        <v>Fri</v>
      </c>
      <c r="D33" s="402">
        <v>0.57962539999999996</v>
      </c>
      <c r="E33" s="180">
        <v>0.52041237000000007</v>
      </c>
      <c r="F33" s="180">
        <v>0.55049877000000003</v>
      </c>
      <c r="G33" s="345">
        <f t="shared" si="3"/>
        <v>13781.980109</v>
      </c>
      <c r="H33" s="277"/>
      <c r="I33" s="363">
        <v>8651</v>
      </c>
      <c r="J33" s="344">
        <f t="shared" si="11"/>
        <v>113</v>
      </c>
      <c r="K33" s="354">
        <v>4364104</v>
      </c>
      <c r="L33" s="348">
        <f>K33-K32</f>
        <v>22078</v>
      </c>
      <c r="M33" s="379"/>
      <c r="N33" s="26"/>
      <c r="O33" s="22"/>
      <c r="P33" s="22"/>
      <c r="Q33" s="21"/>
      <c r="R33" s="22"/>
      <c r="S33" s="21"/>
      <c r="T33" s="109">
        <v>0</v>
      </c>
      <c r="U33" s="109">
        <v>0</v>
      </c>
      <c r="V33" s="107">
        <f t="shared" si="15"/>
        <v>0</v>
      </c>
      <c r="W33" s="109"/>
      <c r="X33" s="103"/>
      <c r="Y33" s="49">
        <f t="shared" si="4"/>
        <v>0</v>
      </c>
      <c r="Z33" s="44">
        <v>0</v>
      </c>
      <c r="AA33" s="44">
        <v>0</v>
      </c>
      <c r="AB33" s="44">
        <v>0</v>
      </c>
      <c r="AC33" s="106"/>
      <c r="AD33" s="247">
        <v>154</v>
      </c>
      <c r="AE33" s="243">
        <f t="shared" si="14"/>
        <v>5779.39</v>
      </c>
      <c r="AF33" s="243"/>
      <c r="AG33" s="7"/>
      <c r="AH33" s="7">
        <f t="shared" si="7"/>
        <v>0</v>
      </c>
      <c r="AI33" s="84">
        <v>761269</v>
      </c>
      <c r="AJ33" s="76">
        <f t="shared" si="5"/>
        <v>3935</v>
      </c>
      <c r="AK33" s="84">
        <v>91747</v>
      </c>
      <c r="AL33" s="76">
        <f t="shared" si="6"/>
        <v>377</v>
      </c>
      <c r="AM33" s="76">
        <v>12969</v>
      </c>
      <c r="AN33" s="76">
        <f t="shared" si="8"/>
        <v>22</v>
      </c>
      <c r="AO33" s="76">
        <v>85992</v>
      </c>
      <c r="AP33" s="227">
        <f t="shared" si="12"/>
        <v>0</v>
      </c>
      <c r="AQ33" s="76">
        <v>115817</v>
      </c>
      <c r="AR33" s="227">
        <f t="shared" si="9"/>
        <v>0</v>
      </c>
      <c r="AS33" s="49">
        <f t="shared" si="1"/>
        <v>0</v>
      </c>
      <c r="AT33" s="17"/>
    </row>
    <row r="34" spans="2:46" ht="15" x14ac:dyDescent="0.25">
      <c r="B34" s="8">
        <f t="shared" si="10"/>
        <v>44954</v>
      </c>
      <c r="C34" s="392" t="str">
        <f t="shared" si="2"/>
        <v>Sat</v>
      </c>
      <c r="D34" s="402">
        <v>0.22512931999999999</v>
      </c>
      <c r="E34" s="180">
        <v>8.8451350000000012E-2</v>
      </c>
      <c r="F34" s="180">
        <v>0.29626774</v>
      </c>
      <c r="G34" s="345">
        <f t="shared" si="3"/>
        <v>5092.2342234999996</v>
      </c>
      <c r="H34" s="277"/>
      <c r="I34" s="363">
        <v>8884</v>
      </c>
      <c r="J34" s="344">
        <f t="shared" si="11"/>
        <v>233</v>
      </c>
      <c r="K34" s="355">
        <v>4378709</v>
      </c>
      <c r="L34" s="348">
        <f t="shared" si="13"/>
        <v>14605</v>
      </c>
      <c r="M34" s="379"/>
      <c r="N34" s="26"/>
      <c r="O34" s="22"/>
      <c r="P34" s="22"/>
      <c r="Q34" s="21"/>
      <c r="R34" s="22"/>
      <c r="S34" s="21"/>
      <c r="T34" s="109">
        <v>0</v>
      </c>
      <c r="U34" s="109">
        <v>0</v>
      </c>
      <c r="V34" s="107">
        <f t="shared" si="15"/>
        <v>0</v>
      </c>
      <c r="W34" s="109"/>
      <c r="X34" s="103"/>
      <c r="Y34" s="49">
        <f t="shared" si="4"/>
        <v>0</v>
      </c>
      <c r="Z34" s="44">
        <v>0</v>
      </c>
      <c r="AA34" s="44">
        <v>0</v>
      </c>
      <c r="AB34" s="44">
        <v>0</v>
      </c>
      <c r="AC34" s="106"/>
      <c r="AD34" s="248"/>
      <c r="AE34" s="243">
        <f t="shared" si="14"/>
        <v>5779.39</v>
      </c>
      <c r="AF34" s="243"/>
      <c r="AG34" s="7"/>
      <c r="AH34" s="7">
        <f t="shared" si="7"/>
        <v>0</v>
      </c>
      <c r="AI34" s="84">
        <v>765503</v>
      </c>
      <c r="AJ34" s="76">
        <f t="shared" si="5"/>
        <v>4234</v>
      </c>
      <c r="AK34" s="84">
        <v>92083</v>
      </c>
      <c r="AL34" s="76">
        <f t="shared" si="6"/>
        <v>336</v>
      </c>
      <c r="AM34" s="76">
        <v>12989</v>
      </c>
      <c r="AN34" s="76">
        <f t="shared" si="8"/>
        <v>20</v>
      </c>
      <c r="AO34" s="76">
        <v>85992</v>
      </c>
      <c r="AP34" s="227">
        <f t="shared" si="12"/>
        <v>0</v>
      </c>
      <c r="AQ34" s="76">
        <v>115817</v>
      </c>
      <c r="AR34" s="227">
        <f t="shared" si="9"/>
        <v>0</v>
      </c>
      <c r="AS34" s="49">
        <f t="shared" si="1"/>
        <v>0</v>
      </c>
      <c r="AT34" s="17"/>
    </row>
    <row r="35" spans="2:46" ht="15" x14ac:dyDescent="0.25">
      <c r="B35" s="8">
        <f t="shared" si="10"/>
        <v>44955</v>
      </c>
      <c r="C35" s="392" t="str">
        <f t="shared" si="2"/>
        <v>Sun</v>
      </c>
      <c r="D35" s="402">
        <v>0.65401779000000004</v>
      </c>
      <c r="E35" s="180">
        <v>7.773983000000001E-2</v>
      </c>
      <c r="F35" s="180">
        <v>0.19490970999999999</v>
      </c>
      <c r="G35" s="345">
        <f t="shared" si="3"/>
        <v>7737.6722055000009</v>
      </c>
      <c r="H35" s="277"/>
      <c r="I35" s="363">
        <v>8884</v>
      </c>
      <c r="J35" s="344">
        <f t="shared" si="11"/>
        <v>0</v>
      </c>
      <c r="K35" s="355">
        <v>4378709</v>
      </c>
      <c r="L35" s="348">
        <f t="shared" si="13"/>
        <v>0</v>
      </c>
      <c r="M35" s="379"/>
      <c r="N35" s="26"/>
      <c r="O35" s="22"/>
      <c r="P35" s="22"/>
      <c r="Q35" s="21"/>
      <c r="R35" s="22"/>
      <c r="S35" s="21"/>
      <c r="T35" s="109">
        <v>0</v>
      </c>
      <c r="U35" s="109">
        <v>0</v>
      </c>
      <c r="V35" s="108">
        <f t="shared" si="15"/>
        <v>0</v>
      </c>
      <c r="W35" s="109"/>
      <c r="X35" s="77"/>
      <c r="Y35" s="49">
        <f t="shared" si="4"/>
        <v>0</v>
      </c>
      <c r="Z35" s="44">
        <v>0</v>
      </c>
      <c r="AA35" s="44">
        <v>0</v>
      </c>
      <c r="AB35" s="44">
        <v>0</v>
      </c>
      <c r="AC35" s="106"/>
      <c r="AD35" s="248"/>
      <c r="AE35" s="243">
        <f t="shared" si="14"/>
        <v>5779.39</v>
      </c>
      <c r="AF35" s="243"/>
      <c r="AG35" s="7"/>
      <c r="AH35" s="7">
        <f t="shared" si="7"/>
        <v>0</v>
      </c>
      <c r="AI35" s="84">
        <v>770362</v>
      </c>
      <c r="AJ35" s="76">
        <f t="shared" si="5"/>
        <v>4859</v>
      </c>
      <c r="AK35" s="84">
        <v>92272</v>
      </c>
      <c r="AL35" s="76">
        <f t="shared" si="6"/>
        <v>189</v>
      </c>
      <c r="AM35" s="76">
        <v>13011</v>
      </c>
      <c r="AN35" s="76">
        <f t="shared" si="8"/>
        <v>22</v>
      </c>
      <c r="AO35" s="76">
        <v>85992</v>
      </c>
      <c r="AP35" s="227">
        <f t="shared" si="12"/>
        <v>0</v>
      </c>
      <c r="AQ35" s="76">
        <v>115817</v>
      </c>
      <c r="AR35" s="227">
        <f t="shared" si="9"/>
        <v>0</v>
      </c>
      <c r="AS35" s="49">
        <f t="shared" si="1"/>
        <v>0</v>
      </c>
      <c r="AT35" s="17"/>
    </row>
    <row r="36" spans="2:46" x14ac:dyDescent="0.25">
      <c r="B36" s="8">
        <f t="shared" si="10"/>
        <v>44956</v>
      </c>
      <c r="C36" s="392" t="str">
        <f t="shared" si="2"/>
        <v>Mon</v>
      </c>
      <c r="D36" s="402">
        <v>0.95773224000000001</v>
      </c>
      <c r="E36" s="180">
        <v>0.36205863999999999</v>
      </c>
      <c r="F36" s="180">
        <v>0.49022838999999996</v>
      </c>
      <c r="G36" s="345">
        <f t="shared" si="3"/>
        <v>15113.6609045</v>
      </c>
      <c r="H36" s="277"/>
      <c r="I36" s="363">
        <v>8884</v>
      </c>
      <c r="J36" s="344">
        <f t="shared" si="11"/>
        <v>0</v>
      </c>
      <c r="K36" s="355">
        <v>4390590</v>
      </c>
      <c r="L36" s="348">
        <f t="shared" si="13"/>
        <v>11881</v>
      </c>
      <c r="M36" s="379"/>
      <c r="N36" s="26"/>
      <c r="O36" s="22"/>
      <c r="P36" s="22"/>
      <c r="Q36" s="21"/>
      <c r="R36" s="22"/>
      <c r="S36" s="21"/>
      <c r="T36" s="109">
        <v>0</v>
      </c>
      <c r="U36" s="109">
        <v>0</v>
      </c>
      <c r="V36" s="108">
        <f t="shared" si="15"/>
        <v>0</v>
      </c>
      <c r="W36" s="109"/>
      <c r="X36" s="77"/>
      <c r="Y36" s="49">
        <f t="shared" si="4"/>
        <v>0</v>
      </c>
      <c r="Z36" s="44">
        <v>0</v>
      </c>
      <c r="AA36" s="44">
        <v>0</v>
      </c>
      <c r="AB36" s="44">
        <v>0</v>
      </c>
      <c r="AC36" s="106"/>
      <c r="AD36" s="247"/>
      <c r="AE36" s="243">
        <f t="shared" si="14"/>
        <v>5779.39</v>
      </c>
      <c r="AF36" s="243"/>
      <c r="AG36" s="7"/>
      <c r="AH36" s="7">
        <f t="shared" si="7"/>
        <v>0</v>
      </c>
      <c r="AI36" s="84">
        <v>773876</v>
      </c>
      <c r="AJ36" s="76">
        <f t="shared" si="5"/>
        <v>3514</v>
      </c>
      <c r="AK36" s="84">
        <v>92500</v>
      </c>
      <c r="AL36" s="76">
        <f t="shared" si="6"/>
        <v>228</v>
      </c>
      <c r="AM36" s="76">
        <v>13030</v>
      </c>
      <c r="AN36" s="76">
        <f t="shared" si="8"/>
        <v>19</v>
      </c>
      <c r="AO36" s="76">
        <v>85992</v>
      </c>
      <c r="AP36" s="227">
        <f t="shared" si="12"/>
        <v>0</v>
      </c>
      <c r="AQ36" s="76">
        <v>115817</v>
      </c>
      <c r="AR36" s="227">
        <f t="shared" si="9"/>
        <v>0</v>
      </c>
      <c r="AS36" s="49">
        <f t="shared" si="1"/>
        <v>0</v>
      </c>
      <c r="AT36" s="17"/>
    </row>
    <row r="37" spans="2:46" x14ac:dyDescent="0.25">
      <c r="B37" s="8">
        <f t="shared" si="10"/>
        <v>44957</v>
      </c>
      <c r="C37" s="392" t="str">
        <f t="shared" si="2"/>
        <v>Tue</v>
      </c>
      <c r="D37" s="404">
        <v>0.60765975999999999</v>
      </c>
      <c r="E37" s="297">
        <v>0.50233879000000004</v>
      </c>
      <c r="F37" s="298">
        <v>0.64941254000000004</v>
      </c>
      <c r="G37" s="345">
        <f t="shared" si="3"/>
        <v>14691.082601500002</v>
      </c>
      <c r="H37" s="277"/>
      <c r="I37" s="363">
        <v>8884</v>
      </c>
      <c r="J37" s="344">
        <f t="shared" si="11"/>
        <v>0</v>
      </c>
      <c r="K37" s="355">
        <v>4393541</v>
      </c>
      <c r="L37" s="348">
        <f t="shared" si="13"/>
        <v>2951</v>
      </c>
      <c r="M37" s="379"/>
      <c r="N37" s="26"/>
      <c r="O37" s="22"/>
      <c r="P37" s="22"/>
      <c r="Q37" s="21"/>
      <c r="R37" s="22"/>
      <c r="S37" s="21"/>
      <c r="T37" s="109">
        <v>0</v>
      </c>
      <c r="U37" s="109">
        <v>0</v>
      </c>
      <c r="V37" s="108">
        <f t="shared" si="15"/>
        <v>0</v>
      </c>
      <c r="W37" s="109"/>
      <c r="X37" s="77"/>
      <c r="Y37" s="49">
        <f t="shared" si="4"/>
        <v>0</v>
      </c>
      <c r="Z37" s="44">
        <v>0</v>
      </c>
      <c r="AA37" s="44">
        <v>0</v>
      </c>
      <c r="AB37" s="44">
        <v>0</v>
      </c>
      <c r="AC37" s="106"/>
      <c r="AD37" s="247">
        <v>184.28</v>
      </c>
      <c r="AE37" s="243">
        <f t="shared" si="14"/>
        <v>5963.67</v>
      </c>
      <c r="AF37" s="243"/>
      <c r="AG37" s="7"/>
      <c r="AH37" s="7"/>
      <c r="AI37" s="84">
        <v>776203</v>
      </c>
      <c r="AJ37" s="76">
        <f t="shared" si="5"/>
        <v>2327</v>
      </c>
      <c r="AK37" s="84">
        <v>92727</v>
      </c>
      <c r="AL37" s="76">
        <f t="shared" si="6"/>
        <v>227</v>
      </c>
      <c r="AM37" s="84">
        <v>13048</v>
      </c>
      <c r="AN37" s="76">
        <f t="shared" si="8"/>
        <v>18</v>
      </c>
      <c r="AO37" s="76">
        <v>85992</v>
      </c>
      <c r="AP37" s="227"/>
      <c r="AQ37" s="76">
        <v>115817</v>
      </c>
      <c r="AR37" s="227"/>
      <c r="AS37" s="49"/>
      <c r="AT37" s="17"/>
    </row>
    <row r="38" spans="2:46" x14ac:dyDescent="0.25">
      <c r="B38" s="14" t="s">
        <v>48</v>
      </c>
      <c r="C38" s="391"/>
      <c r="D38" s="405">
        <v>0.66675402900000014</v>
      </c>
      <c r="E38" s="69">
        <v>0.59115364300000006</v>
      </c>
      <c r="F38" s="69">
        <v>0.58072093833333338</v>
      </c>
      <c r="G38" s="364">
        <v>15352.548896283337</v>
      </c>
      <c r="H38" s="341" t="e">
        <f>AVERAGE(H7:H37)</f>
        <v>#DIV/0!</v>
      </c>
      <c r="I38" s="365">
        <f>MAX(I7:I37)</f>
        <v>8884</v>
      </c>
      <c r="J38" s="340">
        <f>SUM(J7:J37)</f>
        <v>7414</v>
      </c>
      <c r="K38" s="365">
        <v>4393541</v>
      </c>
      <c r="L38" s="406">
        <f>SUM(L7:L37)</f>
        <v>580859</v>
      </c>
      <c r="M38" s="396"/>
      <c r="N38" s="67"/>
      <c r="O38" s="340">
        <f>SUM(O7:O37)</f>
        <v>0</v>
      </c>
      <c r="P38" s="67"/>
      <c r="Q38" s="65">
        <v>0</v>
      </c>
      <c r="R38" s="67"/>
      <c r="S38" s="65">
        <v>0</v>
      </c>
      <c r="T38" s="65">
        <f t="shared" ref="T38:AC38" si="16">SUM(T7:T37)</f>
        <v>0</v>
      </c>
      <c r="U38" s="65">
        <f t="shared" si="16"/>
        <v>0</v>
      </c>
      <c r="V38" s="65">
        <f t="shared" si="16"/>
        <v>0</v>
      </c>
      <c r="W38" s="65">
        <f>SUM(W7:W37)</f>
        <v>0</v>
      </c>
      <c r="X38" s="65">
        <f>SUM(X7:X37)</f>
        <v>0</v>
      </c>
      <c r="Y38" s="65">
        <f>SUM(Y7:Y37)</f>
        <v>0</v>
      </c>
      <c r="Z38" s="65">
        <f t="shared" si="16"/>
        <v>0</v>
      </c>
      <c r="AA38" s="65">
        <f t="shared" si="16"/>
        <v>0</v>
      </c>
      <c r="AB38" s="260">
        <f t="shared" si="16"/>
        <v>0</v>
      </c>
      <c r="AC38" s="65">
        <f t="shared" si="16"/>
        <v>0</v>
      </c>
      <c r="AD38" s="99">
        <f>SUM(AD7:AD37)</f>
        <v>5963.67</v>
      </c>
      <c r="AE38" s="11">
        <f>AE37</f>
        <v>5963.67</v>
      </c>
      <c r="AF38" s="258" t="e">
        <f>AVERAGE(AF7:AF37)</f>
        <v>#DIV/0!</v>
      </c>
      <c r="AG38" s="7"/>
      <c r="AH38" s="68"/>
      <c r="AI38" s="66"/>
      <c r="AJ38" s="65">
        <f>SUM(AJ7:AJ37)</f>
        <v>114078</v>
      </c>
      <c r="AK38" s="99"/>
      <c r="AL38" s="65">
        <f>SUM(AL7:AL37)</f>
        <v>9198</v>
      </c>
      <c r="AM38" s="65">
        <f>AM37-'Dec2022'!AM37</f>
        <v>571</v>
      </c>
      <c r="AN38" s="65">
        <f>SUM(AN7:AN37)</f>
        <v>571</v>
      </c>
      <c r="AO38" s="67"/>
      <c r="AP38" s="65">
        <f>SUMIFS(AP7:AP36,AP7:AP36,"&gt;0")</f>
        <v>0</v>
      </c>
      <c r="AQ38" s="67"/>
      <c r="AR38" s="65">
        <f>SUMIFS(AR7:AR37,AR7:AR37,"&gt;0")</f>
        <v>0</v>
      </c>
      <c r="AS38" s="65">
        <f>SUM(AS7:AS36)</f>
        <v>0</v>
      </c>
      <c r="AT38" s="5"/>
    </row>
    <row r="39" spans="2:46" x14ac:dyDescent="0.25">
      <c r="H39" s="372"/>
      <c r="J39" s="72"/>
      <c r="K39" s="63"/>
      <c r="L39" s="407"/>
      <c r="N39" s="374"/>
      <c r="O39" s="347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236"/>
      <c r="AE39" s="63"/>
      <c r="AG39" s="63"/>
      <c r="AH39" s="63"/>
      <c r="AL39" s="63"/>
      <c r="AM39" s="63"/>
      <c r="AN39" s="63"/>
      <c r="AR39" s="63"/>
      <c r="AS39" s="63"/>
    </row>
    <row r="40" spans="2:46" x14ac:dyDescent="0.25">
      <c r="G40" s="81"/>
      <c r="I40" s="408"/>
      <c r="J40" s="409"/>
      <c r="K40" s="408"/>
      <c r="L40" s="410"/>
      <c r="N40" s="374"/>
      <c r="O40" s="89"/>
      <c r="P40" s="89"/>
      <c r="Q40" s="89"/>
      <c r="R40" s="89"/>
      <c r="S40" s="89"/>
      <c r="AD40" s="237"/>
      <c r="AF40" s="85"/>
      <c r="AG40" s="74"/>
      <c r="AI40" s="373"/>
      <c r="AJ40" s="85"/>
      <c r="AK40" s="373"/>
      <c r="AL40" s="63"/>
      <c r="AM40" s="63"/>
      <c r="AN40" s="73"/>
      <c r="AO40" s="89"/>
      <c r="AP40" s="89"/>
      <c r="AR40" s="91"/>
      <c r="AS40" s="91"/>
      <c r="AT40" s="73">
        <f>SUM(AI40:AK40)</f>
        <v>0</v>
      </c>
    </row>
    <row r="41" spans="2:46" x14ac:dyDescent="0.25">
      <c r="C41" s="16"/>
      <c r="J41" s="80"/>
      <c r="K41" s="331" t="s">
        <v>97</v>
      </c>
      <c r="N41" s="374"/>
      <c r="S41" s="331" t="s">
        <v>88</v>
      </c>
      <c r="T41" s="332"/>
      <c r="AF41" s="86"/>
      <c r="AI41" s="86"/>
      <c r="AJ41" s="86"/>
      <c r="AK41" s="86"/>
      <c r="AL41" s="63"/>
      <c r="AM41" s="63"/>
      <c r="AN41" s="73"/>
      <c r="AQ41" s="88"/>
    </row>
    <row r="42" spans="2:46" x14ac:dyDescent="0.25">
      <c r="K42" s="331" t="s">
        <v>74</v>
      </c>
      <c r="L42" s="407">
        <f>L38</f>
        <v>580859</v>
      </c>
      <c r="S42" s="331" t="s">
        <v>74</v>
      </c>
      <c r="T42" s="333">
        <f>Q38+S38-S32</f>
        <v>0</v>
      </c>
      <c r="AL42" s="63"/>
      <c r="AM42" s="63"/>
      <c r="AN42" s="63"/>
    </row>
    <row r="43" spans="2:46" x14ac:dyDescent="0.25">
      <c r="K43" s="331" t="s">
        <v>75</v>
      </c>
      <c r="L43" s="411">
        <f>Y38</f>
        <v>0</v>
      </c>
      <c r="S43" s="331" t="s">
        <v>75</v>
      </c>
      <c r="T43" s="333">
        <f>AU38</f>
        <v>0</v>
      </c>
      <c r="AL43" s="63"/>
      <c r="AM43" s="63"/>
    </row>
    <row r="44" spans="2:46" x14ac:dyDescent="0.25">
      <c r="L44" s="412"/>
      <c r="S44" s="331" t="s">
        <v>76</v>
      </c>
      <c r="T44" s="331">
        <f>ABS(T42-T43)</f>
        <v>0</v>
      </c>
      <c r="AL44" s="63"/>
      <c r="AM44" s="63"/>
    </row>
    <row r="45" spans="2:46" x14ac:dyDescent="0.25">
      <c r="K45" s="357" t="s">
        <v>102</v>
      </c>
      <c r="L45" s="413">
        <f>L43-L44</f>
        <v>0</v>
      </c>
      <c r="M45" s="1" t="s">
        <v>103</v>
      </c>
      <c r="S45" s="331" t="s">
        <v>77</v>
      </c>
      <c r="T45" s="334"/>
      <c r="AL45" s="63"/>
      <c r="AM45" s="63"/>
    </row>
    <row r="46" spans="2:46" x14ac:dyDescent="0.25">
      <c r="AL46" s="63"/>
      <c r="AM46" s="63"/>
    </row>
    <row r="47" spans="2:46" x14ac:dyDescent="0.25">
      <c r="K47" s="359" t="s">
        <v>104</v>
      </c>
      <c r="L47" s="414">
        <f>L45*13.5</f>
        <v>0</v>
      </c>
      <c r="M47" s="359" t="s">
        <v>105</v>
      </c>
      <c r="AL47" s="63"/>
      <c r="AM47" s="63"/>
    </row>
    <row r="48" spans="2:46" x14ac:dyDescent="0.25">
      <c r="AL48" s="63"/>
      <c r="AM48" s="63"/>
    </row>
    <row r="49" spans="38:39" x14ac:dyDescent="0.25">
      <c r="AL49" s="63"/>
      <c r="AM49" s="63"/>
    </row>
    <row r="50" spans="38:39" x14ac:dyDescent="0.25">
      <c r="AL50" s="63"/>
      <c r="AM50" s="63"/>
    </row>
    <row r="51" spans="38:39" x14ac:dyDescent="0.25">
      <c r="AL51" s="63"/>
      <c r="AM51" s="63"/>
    </row>
    <row r="52" spans="38:39" x14ac:dyDescent="0.25">
      <c r="AL52" s="63"/>
      <c r="AM52" s="63"/>
    </row>
    <row r="53" spans="38:39" x14ac:dyDescent="0.25">
      <c r="AL53" s="63"/>
      <c r="AM53" s="63"/>
    </row>
    <row r="54" spans="38:39" x14ac:dyDescent="0.25">
      <c r="AL54" s="63"/>
      <c r="AM54" s="63"/>
    </row>
    <row r="55" spans="38:39" x14ac:dyDescent="0.25">
      <c r="AL55" s="63"/>
      <c r="AM55" s="63"/>
    </row>
    <row r="56" spans="38:39" x14ac:dyDescent="0.25">
      <c r="AL56" s="63"/>
      <c r="AM56" s="63"/>
    </row>
    <row r="57" spans="38:39" x14ac:dyDescent="0.25">
      <c r="AL57" s="63"/>
      <c r="AM57" s="63"/>
    </row>
    <row r="58" spans="38:39" x14ac:dyDescent="0.25">
      <c r="AL58" s="63"/>
      <c r="AM58" s="63"/>
    </row>
    <row r="59" spans="38:39" x14ac:dyDescent="0.25">
      <c r="AL59" s="63"/>
      <c r="AM59" s="63"/>
    </row>
    <row r="60" spans="38:39" x14ac:dyDescent="0.25">
      <c r="AL60" s="63"/>
      <c r="AM60" s="63"/>
    </row>
    <row r="61" spans="38:39" x14ac:dyDescent="0.25">
      <c r="AL61" s="63"/>
      <c r="AM61" s="63"/>
    </row>
    <row r="62" spans="38:39" x14ac:dyDescent="0.25">
      <c r="AL62" s="63"/>
      <c r="AM62" s="63"/>
    </row>
    <row r="63" spans="38:39" x14ac:dyDescent="0.25">
      <c r="AL63" s="63"/>
      <c r="AM63" s="63"/>
    </row>
    <row r="64" spans="38:39" x14ac:dyDescent="0.25">
      <c r="AL64" s="63"/>
    </row>
    <row r="65" spans="38:38" x14ac:dyDescent="0.25">
      <c r="AL65" s="63"/>
    </row>
    <row r="66" spans="38:38" x14ac:dyDescent="0.25">
      <c r="AL66" s="63"/>
    </row>
    <row r="67" spans="38:38" x14ac:dyDescent="0.25">
      <c r="AL67" s="63"/>
    </row>
    <row r="68" spans="38:38" x14ac:dyDescent="0.25">
      <c r="AL68" s="63"/>
    </row>
  </sheetData>
  <mergeCells count="28">
    <mergeCell ref="AI5:AJ5"/>
    <mergeCell ref="AK5:AL5"/>
    <mergeCell ref="AM5:AN5"/>
    <mergeCell ref="AO5:AP5"/>
    <mergeCell ref="AQ5:AR5"/>
    <mergeCell ref="AG5:AH5"/>
    <mergeCell ref="P4:Q5"/>
    <mergeCell ref="R4:S5"/>
    <mergeCell ref="T4:V4"/>
    <mergeCell ref="W4:Y4"/>
    <mergeCell ref="Z4:AA4"/>
    <mergeCell ref="AB4:AC4"/>
    <mergeCell ref="B3:AC3"/>
    <mergeCell ref="AD3:AF3"/>
    <mergeCell ref="AG3:AH3"/>
    <mergeCell ref="AI3:AN4"/>
    <mergeCell ref="AT3:AT6"/>
    <mergeCell ref="B4:B6"/>
    <mergeCell ref="C4:C6"/>
    <mergeCell ref="D4:G4"/>
    <mergeCell ref="I4:L4"/>
    <mergeCell ref="M4:O4"/>
    <mergeCell ref="AD4:AF4"/>
    <mergeCell ref="AG4:AH4"/>
    <mergeCell ref="I5:J5"/>
    <mergeCell ref="K5:L5"/>
    <mergeCell ref="M5:N5"/>
    <mergeCell ref="AD5:AE5"/>
  </mergeCells>
  <pageMargins left="0" right="0" top="0.35433070866141736" bottom="0" header="0.31496062992125984" footer="0.31496062992125984"/>
  <pageSetup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X65"/>
  <sheetViews>
    <sheetView showGridLines="0" zoomScale="80" zoomScaleNormal="80" zoomScaleSheetLayoutView="70" workbookViewId="0">
      <pane xSplit="3" ySplit="6" topLeftCell="D7" activePane="bottomRight" state="frozen"/>
      <selection pane="topRight" activeCell="B41" sqref="B41:E42"/>
      <selection pane="bottomLeft" activeCell="B41" sqref="B41:E42"/>
      <selection pane="bottomRight" activeCell="B41" sqref="B41:E42"/>
    </sheetView>
  </sheetViews>
  <sheetFormatPr defaultColWidth="9.109375" defaultRowHeight="13.8" x14ac:dyDescent="0.25"/>
  <cols>
    <col min="1" max="1" width="4.5546875" style="1" customWidth="1"/>
    <col min="2" max="2" width="22.5546875" style="2" customWidth="1"/>
    <col min="3" max="3" width="10.44140625" style="2" bestFit="1" customWidth="1"/>
    <col min="4" max="5" width="10.44140625" style="2" customWidth="1"/>
    <col min="6" max="6" width="10" style="2" customWidth="1"/>
    <col min="7" max="7" width="11" style="2" customWidth="1"/>
    <col min="8" max="8" width="11.44140625" style="2" customWidth="1"/>
    <col min="9" max="9" width="15.44140625" style="1" customWidth="1"/>
    <col min="10" max="10" width="13" style="1" customWidth="1"/>
    <col min="11" max="11" width="15.44140625" style="1" customWidth="1"/>
    <col min="12" max="12" width="15" style="1" bestFit="1" customWidth="1"/>
    <col min="13" max="13" width="10.88671875" style="1" bestFit="1" customWidth="1"/>
    <col min="14" max="14" width="10.88671875" style="1" customWidth="1"/>
    <col min="15" max="19" width="11.44140625" style="1" customWidth="1"/>
    <col min="20" max="20" width="12.44140625" style="3" customWidth="1"/>
    <col min="21" max="21" width="11.109375" style="3" customWidth="1"/>
    <col min="22" max="22" width="12.44140625" style="3" bestFit="1" customWidth="1"/>
    <col min="23" max="25" width="12.44140625" style="3" customWidth="1"/>
    <col min="26" max="26" width="11.5546875" style="3" customWidth="1"/>
    <col min="27" max="27" width="11.109375" style="3" customWidth="1"/>
    <col min="28" max="28" width="11" style="3" customWidth="1"/>
    <col min="29" max="29" width="11.44140625" style="3" customWidth="1"/>
    <col min="30" max="30" width="13.5546875" style="234" customWidth="1"/>
    <col min="31" max="31" width="13.5546875" style="1" customWidth="1"/>
    <col min="32" max="32" width="11.5546875" style="2" customWidth="1"/>
    <col min="33" max="34" width="12.88671875" style="1" customWidth="1"/>
    <col min="35" max="35" width="13.44140625" style="2" customWidth="1"/>
    <col min="36" max="36" width="12.88671875" style="2" customWidth="1"/>
    <col min="37" max="37" width="14.44140625" style="2" customWidth="1"/>
    <col min="38" max="40" width="12.88671875" style="1" customWidth="1"/>
    <col min="41" max="42" width="11.44140625" style="1" customWidth="1"/>
    <col min="43" max="43" width="11.5546875" style="1" customWidth="1"/>
    <col min="44" max="44" width="11.88671875" style="1" customWidth="1"/>
    <col min="45" max="45" width="18.5546875" style="1" customWidth="1"/>
    <col min="46" max="46" width="38" style="1" bestFit="1" customWidth="1"/>
    <col min="47" max="47" width="9.109375" style="1"/>
    <col min="48" max="48" width="10.88671875" style="1" bestFit="1" customWidth="1"/>
    <col min="49" max="49" width="12.88671875" style="1" bestFit="1" customWidth="1"/>
    <col min="50" max="16384" width="9.109375" style="1"/>
  </cols>
  <sheetData>
    <row r="2" spans="1:50" x14ac:dyDescent="0.25">
      <c r="B2" s="4" t="s">
        <v>0</v>
      </c>
    </row>
    <row r="3" spans="1:50" ht="31.5" customHeight="1" x14ac:dyDescent="0.25">
      <c r="B3" s="479" t="s">
        <v>1</v>
      </c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  <c r="AA3" s="480"/>
      <c r="AB3" s="480"/>
      <c r="AC3" s="481"/>
      <c r="AD3" s="490" t="s">
        <v>2</v>
      </c>
      <c r="AE3" s="491"/>
      <c r="AF3" s="492"/>
      <c r="AG3" s="485" t="s">
        <v>3</v>
      </c>
      <c r="AH3" s="486"/>
      <c r="AI3" s="465" t="s">
        <v>4</v>
      </c>
      <c r="AJ3" s="473"/>
      <c r="AK3" s="473"/>
      <c r="AL3" s="473"/>
      <c r="AM3" s="473"/>
      <c r="AN3" s="473"/>
      <c r="AO3" s="225"/>
      <c r="AP3" s="225"/>
      <c r="AQ3" s="225"/>
      <c r="AR3" s="225"/>
      <c r="AS3" s="225"/>
      <c r="AT3" s="457" t="s">
        <v>5</v>
      </c>
    </row>
    <row r="4" spans="1:50" ht="16.5" customHeight="1" x14ac:dyDescent="0.25">
      <c r="B4" s="460" t="s">
        <v>6</v>
      </c>
      <c r="C4" s="460" t="s">
        <v>7</v>
      </c>
      <c r="D4" s="461" t="s">
        <v>8</v>
      </c>
      <c r="E4" s="462"/>
      <c r="F4" s="462"/>
      <c r="G4" s="463"/>
      <c r="H4" s="54" t="s">
        <v>9</v>
      </c>
      <c r="I4" s="464"/>
      <c r="J4" s="464"/>
      <c r="K4" s="464"/>
      <c r="L4" s="464"/>
      <c r="M4" s="464" t="s">
        <v>11</v>
      </c>
      <c r="N4" s="464"/>
      <c r="O4" s="464"/>
      <c r="P4" s="465" t="s">
        <v>56</v>
      </c>
      <c r="Q4" s="466"/>
      <c r="R4" s="465" t="s">
        <v>57</v>
      </c>
      <c r="S4" s="466"/>
      <c r="T4" s="469" t="s">
        <v>13</v>
      </c>
      <c r="U4" s="470"/>
      <c r="V4" s="471"/>
      <c r="W4" s="482" t="s">
        <v>14</v>
      </c>
      <c r="X4" s="483"/>
      <c r="Y4" s="484"/>
      <c r="Z4" s="461" t="s">
        <v>15</v>
      </c>
      <c r="AA4" s="463"/>
      <c r="AB4" s="461" t="s">
        <v>16</v>
      </c>
      <c r="AC4" s="463"/>
      <c r="AD4" s="487" t="s">
        <v>17</v>
      </c>
      <c r="AE4" s="488"/>
      <c r="AF4" s="489"/>
      <c r="AG4" s="477" t="s">
        <v>17</v>
      </c>
      <c r="AH4" s="478"/>
      <c r="AI4" s="467"/>
      <c r="AJ4" s="474"/>
      <c r="AK4" s="474"/>
      <c r="AL4" s="474"/>
      <c r="AM4" s="474"/>
      <c r="AN4" s="474"/>
      <c r="AO4" s="228"/>
      <c r="AP4" s="228"/>
      <c r="AQ4" s="228"/>
      <c r="AR4" s="228"/>
      <c r="AS4" s="228"/>
      <c r="AT4" s="458"/>
    </row>
    <row r="5" spans="1:50" ht="52.5" customHeight="1" x14ac:dyDescent="0.25">
      <c r="B5" s="460"/>
      <c r="C5" s="460"/>
      <c r="D5" s="41" t="s">
        <v>18</v>
      </c>
      <c r="E5" s="41" t="s">
        <v>19</v>
      </c>
      <c r="F5" s="41" t="s">
        <v>20</v>
      </c>
      <c r="G5" s="41" t="s">
        <v>21</v>
      </c>
      <c r="H5" s="43" t="s">
        <v>22</v>
      </c>
      <c r="I5" s="477" t="s">
        <v>68</v>
      </c>
      <c r="J5" s="493"/>
      <c r="K5" s="472" t="s">
        <v>52</v>
      </c>
      <c r="L5" s="472"/>
      <c r="M5" s="460" t="s">
        <v>25</v>
      </c>
      <c r="N5" s="460"/>
      <c r="O5" s="43" t="s">
        <v>26</v>
      </c>
      <c r="P5" s="467"/>
      <c r="Q5" s="468"/>
      <c r="R5" s="467"/>
      <c r="S5" s="468"/>
      <c r="T5" s="82" t="s">
        <v>27</v>
      </c>
      <c r="U5" s="82" t="s">
        <v>24</v>
      </c>
      <c r="V5" s="82" t="s">
        <v>21</v>
      </c>
      <c r="W5" s="34" t="s">
        <v>27</v>
      </c>
      <c r="X5" s="34" t="s">
        <v>24</v>
      </c>
      <c r="Y5" s="36" t="s">
        <v>21</v>
      </c>
      <c r="Z5" s="82" t="s">
        <v>27</v>
      </c>
      <c r="AA5" s="82" t="s">
        <v>24</v>
      </c>
      <c r="AB5" s="82" t="s">
        <v>27</v>
      </c>
      <c r="AC5" s="82" t="s">
        <v>24</v>
      </c>
      <c r="AD5" s="472" t="s">
        <v>28</v>
      </c>
      <c r="AE5" s="472"/>
      <c r="AF5" s="45" t="s">
        <v>29</v>
      </c>
      <c r="AG5" s="477" t="s">
        <v>28</v>
      </c>
      <c r="AH5" s="493"/>
      <c r="AI5" s="475" t="s">
        <v>30</v>
      </c>
      <c r="AJ5" s="476"/>
      <c r="AK5" s="475" t="s">
        <v>31</v>
      </c>
      <c r="AL5" s="476"/>
      <c r="AM5" s="477" t="s">
        <v>32</v>
      </c>
      <c r="AN5" s="478"/>
      <c r="AO5" s="477" t="s">
        <v>56</v>
      </c>
      <c r="AP5" s="493"/>
      <c r="AQ5" s="477" t="s">
        <v>67</v>
      </c>
      <c r="AR5" s="493"/>
      <c r="AS5" s="226" t="s">
        <v>69</v>
      </c>
      <c r="AT5" s="458"/>
    </row>
    <row r="6" spans="1:50" ht="14.4" x14ac:dyDescent="0.3">
      <c r="B6" s="460"/>
      <c r="C6" s="460"/>
      <c r="D6" s="83">
        <v>8350</v>
      </c>
      <c r="E6" s="83">
        <v>8350</v>
      </c>
      <c r="F6" s="83">
        <v>8350</v>
      </c>
      <c r="G6" s="83">
        <f>D6+E6+F6</f>
        <v>25050</v>
      </c>
      <c r="H6" s="56" t="s">
        <v>33</v>
      </c>
      <c r="I6" s="17" t="s">
        <v>34</v>
      </c>
      <c r="J6" s="124" t="s">
        <v>53</v>
      </c>
      <c r="K6" s="17" t="s">
        <v>34</v>
      </c>
      <c r="L6" s="124" t="s">
        <v>53</v>
      </c>
      <c r="M6" s="40" t="s">
        <v>36</v>
      </c>
      <c r="N6" s="40" t="s">
        <v>37</v>
      </c>
      <c r="O6" s="41" t="s">
        <v>38</v>
      </c>
      <c r="P6" s="17" t="s">
        <v>34</v>
      </c>
      <c r="Q6" s="17" t="s">
        <v>35</v>
      </c>
      <c r="R6" s="17" t="s">
        <v>34</v>
      </c>
      <c r="S6" s="17" t="s">
        <v>35</v>
      </c>
      <c r="T6" s="82" t="s">
        <v>39</v>
      </c>
      <c r="U6" s="82" t="s">
        <v>39</v>
      </c>
      <c r="V6" s="82" t="s">
        <v>39</v>
      </c>
      <c r="W6" s="82"/>
      <c r="X6" s="82"/>
      <c r="Y6" s="82"/>
      <c r="Z6" s="41" t="s">
        <v>40</v>
      </c>
      <c r="AA6" s="41" t="s">
        <v>40</v>
      </c>
      <c r="AB6" s="41" t="s">
        <v>40</v>
      </c>
      <c r="AC6" s="41" t="s">
        <v>40</v>
      </c>
      <c r="AD6" s="235" t="s">
        <v>41</v>
      </c>
      <c r="AE6" s="78" t="s">
        <v>42</v>
      </c>
      <c r="AF6" s="9" t="s">
        <v>43</v>
      </c>
      <c r="AG6" s="17" t="s">
        <v>41</v>
      </c>
      <c r="AH6" s="78" t="s">
        <v>42</v>
      </c>
      <c r="AI6" s="9" t="s">
        <v>34</v>
      </c>
      <c r="AJ6" s="9" t="s">
        <v>44</v>
      </c>
      <c r="AK6" s="9" t="s">
        <v>34</v>
      </c>
      <c r="AL6" s="9" t="s">
        <v>44</v>
      </c>
      <c r="AM6" s="9" t="s">
        <v>34</v>
      </c>
      <c r="AN6" s="9" t="s">
        <v>44</v>
      </c>
      <c r="AO6" s="17" t="s">
        <v>34</v>
      </c>
      <c r="AP6" s="17" t="s">
        <v>35</v>
      </c>
      <c r="AQ6" s="17" t="s">
        <v>34</v>
      </c>
      <c r="AR6" s="17" t="s">
        <v>35</v>
      </c>
      <c r="AS6" s="17" t="s">
        <v>53</v>
      </c>
      <c r="AT6" s="459"/>
    </row>
    <row r="7" spans="1:50" x14ac:dyDescent="0.25">
      <c r="B7" s="8">
        <v>44958</v>
      </c>
      <c r="C7" s="42" t="str">
        <f>TEXT(B7,"ddd")</f>
        <v>Wed</v>
      </c>
      <c r="D7" s="180">
        <v>0.38</v>
      </c>
      <c r="E7" s="180">
        <v>0.26</v>
      </c>
      <c r="F7" s="180">
        <v>0.23</v>
      </c>
      <c r="G7" s="345">
        <f>SUMPRODUCT($D$6:$F$6,D7:F7)</f>
        <v>7264.5</v>
      </c>
      <c r="H7" s="272"/>
      <c r="I7" s="362">
        <v>10508</v>
      </c>
      <c r="J7" s="22">
        <f>'Feb2023'!I7-'Jan2023'!I37</f>
        <v>1624</v>
      </c>
      <c r="K7" s="349">
        <v>4414210</v>
      </c>
      <c r="L7" s="22">
        <f>K7-'Jan2023'!K37</f>
        <v>20669</v>
      </c>
      <c r="M7" s="23"/>
      <c r="N7" s="23"/>
      <c r="O7" s="22"/>
      <c r="P7" s="22">
        <v>85992</v>
      </c>
      <c r="Q7" s="305" t="s">
        <v>106</v>
      </c>
      <c r="R7" s="22">
        <v>115811</v>
      </c>
      <c r="S7" s="21" t="s">
        <v>106</v>
      </c>
      <c r="T7" s="109">
        <v>0</v>
      </c>
      <c r="U7" s="109">
        <v>0</v>
      </c>
      <c r="V7" s="105">
        <f t="shared" ref="V7:V16" si="0">SUM(T7:U7)</f>
        <v>0</v>
      </c>
      <c r="W7" s="109"/>
      <c r="X7" s="109"/>
      <c r="Y7" s="49">
        <f>SUM(W7:X7)</f>
        <v>0</v>
      </c>
      <c r="Z7" s="44">
        <v>0</v>
      </c>
      <c r="AA7" s="44">
        <v>0</v>
      </c>
      <c r="AB7" s="44">
        <v>0</v>
      </c>
      <c r="AC7" s="106"/>
      <c r="AD7" s="242">
        <v>273.07</v>
      </c>
      <c r="AE7" s="243">
        <f>AD7</f>
        <v>273.07</v>
      </c>
      <c r="AF7" s="368"/>
      <c r="AG7" s="7"/>
      <c r="AH7" s="7">
        <f>AG7</f>
        <v>0</v>
      </c>
      <c r="AI7" s="84">
        <v>780594</v>
      </c>
      <c r="AJ7" s="76">
        <f>AI7-'Jan2023'!AI37</f>
        <v>4391</v>
      </c>
      <c r="AK7" s="84">
        <v>93092</v>
      </c>
      <c r="AL7" s="76">
        <f>AK7-'Jan2023'!AK37</f>
        <v>365</v>
      </c>
      <c r="AM7" s="76">
        <v>13064</v>
      </c>
      <c r="AN7" s="76">
        <f>AM7-'Jan2023'!AM37</f>
        <v>16</v>
      </c>
      <c r="AO7" s="76">
        <v>85992</v>
      </c>
      <c r="AP7" s="227" t="s">
        <v>106</v>
      </c>
      <c r="AQ7" s="76">
        <v>115811</v>
      </c>
      <c r="AR7" s="227" t="s">
        <v>106</v>
      </c>
      <c r="AS7" s="49"/>
      <c r="AT7" s="17"/>
      <c r="AV7" s="79"/>
      <c r="AW7" s="74"/>
      <c r="AX7" s="74"/>
    </row>
    <row r="8" spans="1:50" x14ac:dyDescent="0.25">
      <c r="B8" s="8">
        <f>B7+1</f>
        <v>44959</v>
      </c>
      <c r="C8" s="42" t="str">
        <f t="shared" ref="C8:C34" si="1">TEXT(B8,"ddd")</f>
        <v>Thu</v>
      </c>
      <c r="D8" s="180">
        <v>0.82</v>
      </c>
      <c r="E8" s="377">
        <v>0.55000000000000004</v>
      </c>
      <c r="F8" s="377">
        <v>0.56999999999999995</v>
      </c>
      <c r="G8" s="345">
        <f>SUMPRODUCT($D$6:$F$6,D8:F8)</f>
        <v>16199</v>
      </c>
      <c r="H8" s="272"/>
      <c r="I8" s="363">
        <v>10714</v>
      </c>
      <c r="J8" s="344">
        <f>I8-I7</f>
        <v>206</v>
      </c>
      <c r="K8" s="350">
        <v>4427010</v>
      </c>
      <c r="L8" s="348">
        <f>K8-K7</f>
        <v>12800</v>
      </c>
      <c r="M8" s="26"/>
      <c r="N8" s="26"/>
      <c r="O8" s="22"/>
      <c r="P8" s="22">
        <v>85992</v>
      </c>
      <c r="Q8" s="21" t="s">
        <v>106</v>
      </c>
      <c r="R8" s="22">
        <v>115811</v>
      </c>
      <c r="S8" s="21" t="s">
        <v>106</v>
      </c>
      <c r="T8" s="109">
        <v>0</v>
      </c>
      <c r="U8" s="109">
        <v>0</v>
      </c>
      <c r="V8" s="105">
        <f t="shared" si="0"/>
        <v>0</v>
      </c>
      <c r="W8" s="109"/>
      <c r="X8" s="109"/>
      <c r="Y8" s="49">
        <f t="shared" ref="Y8:Y34" si="2">SUM(W8:X8)</f>
        <v>0</v>
      </c>
      <c r="Z8" s="44">
        <v>0</v>
      </c>
      <c r="AA8" s="44">
        <v>0</v>
      </c>
      <c r="AB8" s="44">
        <v>0</v>
      </c>
      <c r="AC8" s="106"/>
      <c r="AD8" s="244">
        <v>171.6</v>
      </c>
      <c r="AE8" s="243">
        <f>AD8+AE7</f>
        <v>444.66999999999996</v>
      </c>
      <c r="AF8" s="369"/>
      <c r="AG8" s="7"/>
      <c r="AH8" s="7">
        <f>AG8+AH7</f>
        <v>0</v>
      </c>
      <c r="AI8" s="84">
        <v>784814</v>
      </c>
      <c r="AJ8" s="76">
        <f t="shared" ref="AJ8:AJ34" si="3">AI8-AI7</f>
        <v>4220</v>
      </c>
      <c r="AK8" s="84">
        <v>93378</v>
      </c>
      <c r="AL8" s="76">
        <f t="shared" ref="AL8:AL34" si="4">AK8-AK7</f>
        <v>286</v>
      </c>
      <c r="AM8" s="76">
        <v>13078</v>
      </c>
      <c r="AN8" s="76">
        <f>AM8-AM7</f>
        <v>14</v>
      </c>
      <c r="AO8" s="76">
        <v>85992</v>
      </c>
      <c r="AP8" s="227" t="s">
        <v>106</v>
      </c>
      <c r="AQ8" s="76">
        <v>115811</v>
      </c>
      <c r="AR8" s="227" t="s">
        <v>106</v>
      </c>
      <c r="AS8" s="49"/>
      <c r="AT8" s="17"/>
      <c r="AV8" s="79"/>
      <c r="AW8" s="74"/>
      <c r="AX8" s="74"/>
    </row>
    <row r="9" spans="1:50" x14ac:dyDescent="0.25">
      <c r="B9" s="8">
        <f>B8+1</f>
        <v>44960</v>
      </c>
      <c r="C9" s="42" t="str">
        <f t="shared" si="1"/>
        <v>Fri</v>
      </c>
      <c r="D9" s="180">
        <v>0.74</v>
      </c>
      <c r="E9" s="180">
        <v>0.47</v>
      </c>
      <c r="F9" s="180">
        <v>0.61</v>
      </c>
      <c r="G9" s="345">
        <f>SUMPRODUCT($D$6:$F$6,D9:F9)</f>
        <v>15197</v>
      </c>
      <c r="H9" s="272"/>
      <c r="I9" s="363">
        <v>10902</v>
      </c>
      <c r="J9" s="344">
        <f>I9-I8</f>
        <v>188</v>
      </c>
      <c r="K9" s="350">
        <v>4446623</v>
      </c>
      <c r="L9" s="348">
        <f>K9-K8</f>
        <v>19613</v>
      </c>
      <c r="M9" s="26"/>
      <c r="N9" s="26"/>
      <c r="O9" s="22"/>
      <c r="P9" s="22">
        <v>85992</v>
      </c>
      <c r="Q9" s="21" t="s">
        <v>106</v>
      </c>
      <c r="R9" s="22">
        <v>115811</v>
      </c>
      <c r="S9" s="21" t="s">
        <v>106</v>
      </c>
      <c r="T9" s="109">
        <v>0</v>
      </c>
      <c r="U9" s="109">
        <v>0</v>
      </c>
      <c r="V9" s="105">
        <f t="shared" si="0"/>
        <v>0</v>
      </c>
      <c r="W9" s="109"/>
      <c r="X9" s="109"/>
      <c r="Y9" s="49">
        <f t="shared" si="2"/>
        <v>0</v>
      </c>
      <c r="Z9" s="44">
        <v>0</v>
      </c>
      <c r="AA9" s="44">
        <v>0</v>
      </c>
      <c r="AB9" s="44">
        <v>0</v>
      </c>
      <c r="AC9" s="106"/>
      <c r="AD9" s="244">
        <v>191.98</v>
      </c>
      <c r="AE9" s="243">
        <f>AD9+AE8</f>
        <v>636.65</v>
      </c>
      <c r="AF9" s="369"/>
      <c r="AG9" s="102"/>
      <c r="AH9" s="7">
        <f t="shared" ref="AH9:AH34" si="5">AG9+AH8</f>
        <v>0</v>
      </c>
      <c r="AI9" s="84">
        <v>788706</v>
      </c>
      <c r="AJ9" s="76">
        <f t="shared" si="3"/>
        <v>3892</v>
      </c>
      <c r="AK9" s="84">
        <v>93949</v>
      </c>
      <c r="AL9" s="76">
        <f t="shared" si="4"/>
        <v>571</v>
      </c>
      <c r="AM9" s="76">
        <v>13091</v>
      </c>
      <c r="AN9" s="76">
        <f t="shared" ref="AN9:AN34" si="6">AM9-AM8</f>
        <v>13</v>
      </c>
      <c r="AO9" s="76">
        <v>85992</v>
      </c>
      <c r="AP9" s="227" t="s">
        <v>106</v>
      </c>
      <c r="AQ9" s="76">
        <v>115811</v>
      </c>
      <c r="AR9" s="227" t="s">
        <v>106</v>
      </c>
      <c r="AS9" s="49"/>
      <c r="AT9" s="17"/>
      <c r="AV9" s="79"/>
      <c r="AW9" s="74"/>
      <c r="AX9" s="74"/>
    </row>
    <row r="10" spans="1:50" x14ac:dyDescent="0.25">
      <c r="A10" s="1" t="s">
        <v>100</v>
      </c>
      <c r="B10" s="8">
        <f t="shared" ref="B10:B34" si="7">B9+1</f>
        <v>44961</v>
      </c>
      <c r="C10" s="42" t="str">
        <f t="shared" si="1"/>
        <v>Sat</v>
      </c>
      <c r="D10" s="180">
        <v>0.22</v>
      </c>
      <c r="E10" s="180">
        <v>0.1</v>
      </c>
      <c r="F10" s="180">
        <v>7.0000000000000007E-2</v>
      </c>
      <c r="G10" s="345">
        <f t="shared" ref="G10:G34" si="8">SUMPRODUCT($D$6:$F$6,D10:F10)</f>
        <v>3256.5</v>
      </c>
      <c r="H10" s="272"/>
      <c r="I10" s="363">
        <v>10902</v>
      </c>
      <c r="J10" s="344">
        <f t="shared" ref="J10:J34" si="9">I10-I9</f>
        <v>0</v>
      </c>
      <c r="K10" s="350">
        <v>4462100</v>
      </c>
      <c r="L10" s="348">
        <f t="shared" ref="L10:L34" si="10">K10-K9</f>
        <v>15477</v>
      </c>
      <c r="M10" s="26"/>
      <c r="N10" s="26"/>
      <c r="O10" s="22"/>
      <c r="P10" s="22">
        <v>85992</v>
      </c>
      <c r="Q10" s="21" t="s">
        <v>106</v>
      </c>
      <c r="R10" s="22">
        <v>115811</v>
      </c>
      <c r="S10" s="21" t="s">
        <v>106</v>
      </c>
      <c r="T10" s="109">
        <v>0</v>
      </c>
      <c r="U10" s="109">
        <v>0</v>
      </c>
      <c r="V10" s="105">
        <f t="shared" si="0"/>
        <v>0</v>
      </c>
      <c r="W10" s="109"/>
      <c r="X10" s="109"/>
      <c r="Y10" s="49">
        <f t="shared" si="2"/>
        <v>0</v>
      </c>
      <c r="Z10" s="44">
        <v>0</v>
      </c>
      <c r="AA10" s="44">
        <v>0</v>
      </c>
      <c r="AB10" s="44">
        <v>0</v>
      </c>
      <c r="AC10" s="106"/>
      <c r="AD10" s="244">
        <v>210.25</v>
      </c>
      <c r="AE10" s="243">
        <f>AD10+AE9</f>
        <v>846.9</v>
      </c>
      <c r="AF10" s="369"/>
      <c r="AG10" s="102"/>
      <c r="AH10" s="7">
        <f t="shared" si="5"/>
        <v>0</v>
      </c>
      <c r="AI10" s="84">
        <v>797044</v>
      </c>
      <c r="AJ10" s="76">
        <f t="shared" si="3"/>
        <v>8338</v>
      </c>
      <c r="AK10" s="84">
        <v>94975</v>
      </c>
      <c r="AL10" s="76">
        <f t="shared" si="4"/>
        <v>1026</v>
      </c>
      <c r="AM10" s="76">
        <v>13148</v>
      </c>
      <c r="AN10" s="76">
        <f t="shared" si="6"/>
        <v>57</v>
      </c>
      <c r="AO10" s="76">
        <v>85992</v>
      </c>
      <c r="AP10" s="227" t="s">
        <v>106</v>
      </c>
      <c r="AQ10" s="76">
        <v>115811</v>
      </c>
      <c r="AR10" s="227" t="s">
        <v>106</v>
      </c>
      <c r="AS10" s="49"/>
      <c r="AT10" s="17"/>
      <c r="AV10" s="79"/>
      <c r="AW10" s="74"/>
      <c r="AX10" s="74"/>
    </row>
    <row r="11" spans="1:50" x14ac:dyDescent="0.25">
      <c r="B11" s="8">
        <f t="shared" si="7"/>
        <v>44962</v>
      </c>
      <c r="C11" s="42" t="str">
        <f t="shared" si="1"/>
        <v>Sun</v>
      </c>
      <c r="D11" s="180">
        <v>0.1</v>
      </c>
      <c r="E11" s="180">
        <v>0.06</v>
      </c>
      <c r="F11" s="180">
        <v>0.12</v>
      </c>
      <c r="G11" s="345">
        <f t="shared" si="8"/>
        <v>2338</v>
      </c>
      <c r="H11" s="274"/>
      <c r="I11" s="363">
        <v>10902</v>
      </c>
      <c r="J11" s="344">
        <f t="shared" si="9"/>
        <v>0</v>
      </c>
      <c r="K11" s="350">
        <v>4463457</v>
      </c>
      <c r="L11" s="376">
        <f t="shared" si="10"/>
        <v>1357</v>
      </c>
      <c r="M11" s="26"/>
      <c r="N11" s="26"/>
      <c r="O11" s="22"/>
      <c r="P11" s="22">
        <v>93948</v>
      </c>
      <c r="Q11" s="21">
        <v>7956</v>
      </c>
      <c r="R11" s="22">
        <v>115817</v>
      </c>
      <c r="S11" s="21">
        <v>6</v>
      </c>
      <c r="T11" s="109">
        <v>0</v>
      </c>
      <c r="U11" s="109">
        <v>0</v>
      </c>
      <c r="V11" s="105">
        <f t="shared" si="0"/>
        <v>0</v>
      </c>
      <c r="W11" s="109"/>
      <c r="X11" s="109"/>
      <c r="Y11" s="49">
        <f t="shared" si="2"/>
        <v>0</v>
      </c>
      <c r="Z11" s="44">
        <v>0</v>
      </c>
      <c r="AA11" s="44">
        <v>0</v>
      </c>
      <c r="AB11" s="44">
        <v>0</v>
      </c>
      <c r="AC11" s="106"/>
      <c r="AD11" s="245">
        <v>156.38999999999999</v>
      </c>
      <c r="AE11" s="243">
        <f t="shared" ref="AE11:AE34" si="11">AD11+AE10</f>
        <v>1003.29</v>
      </c>
      <c r="AF11" s="369"/>
      <c r="AG11" s="102"/>
      <c r="AH11" s="7">
        <f t="shared" si="5"/>
        <v>0</v>
      </c>
      <c r="AI11" s="84">
        <v>800579</v>
      </c>
      <c r="AJ11" s="76">
        <f t="shared" si="3"/>
        <v>3535</v>
      </c>
      <c r="AK11" s="84">
        <v>96391</v>
      </c>
      <c r="AL11" s="76">
        <f t="shared" si="4"/>
        <v>1416</v>
      </c>
      <c r="AM11" s="76">
        <v>13185</v>
      </c>
      <c r="AN11" s="76">
        <f t="shared" si="6"/>
        <v>37</v>
      </c>
      <c r="AO11" s="76">
        <v>93948</v>
      </c>
      <c r="AP11" s="227">
        <v>7956</v>
      </c>
      <c r="AQ11" s="76">
        <v>115817</v>
      </c>
      <c r="AR11" s="227">
        <v>6</v>
      </c>
      <c r="AS11" s="49">
        <f t="shared" ref="AS11:AS34" si="12">AP11+AR11</f>
        <v>7962</v>
      </c>
      <c r="AT11" s="17"/>
      <c r="AV11" s="79"/>
      <c r="AW11" s="74"/>
      <c r="AX11" s="74"/>
    </row>
    <row r="12" spans="1:50" x14ac:dyDescent="0.25">
      <c r="B12" s="8">
        <f t="shared" si="7"/>
        <v>44963</v>
      </c>
      <c r="C12" s="42" t="str">
        <f t="shared" si="1"/>
        <v>Mon</v>
      </c>
      <c r="D12" s="180">
        <v>0.52</v>
      </c>
      <c r="E12" s="180">
        <v>0.64</v>
      </c>
      <c r="F12" s="180">
        <v>0.53</v>
      </c>
      <c r="G12" s="345">
        <f t="shared" si="8"/>
        <v>14111.5</v>
      </c>
      <c r="H12" s="274"/>
      <c r="I12" s="363">
        <v>11955</v>
      </c>
      <c r="J12" s="344">
        <f t="shared" si="9"/>
        <v>1053</v>
      </c>
      <c r="K12" s="351">
        <v>4474173</v>
      </c>
      <c r="L12" s="348">
        <f t="shared" si="10"/>
        <v>10716</v>
      </c>
      <c r="M12" s="26"/>
      <c r="N12" s="26"/>
      <c r="O12" s="22"/>
      <c r="P12" s="22">
        <v>103466</v>
      </c>
      <c r="Q12" s="21">
        <v>9518</v>
      </c>
      <c r="R12" s="22">
        <v>131972</v>
      </c>
      <c r="S12" s="21">
        <v>16155</v>
      </c>
      <c r="T12" s="109">
        <v>0</v>
      </c>
      <c r="U12" s="109">
        <v>0</v>
      </c>
      <c r="V12" s="105">
        <f t="shared" si="0"/>
        <v>0</v>
      </c>
      <c r="W12" s="109"/>
      <c r="X12" s="109"/>
      <c r="Y12" s="49">
        <f t="shared" si="2"/>
        <v>0</v>
      </c>
      <c r="Z12" s="44">
        <v>0</v>
      </c>
      <c r="AA12" s="44">
        <v>0</v>
      </c>
      <c r="AB12" s="44">
        <v>0</v>
      </c>
      <c r="AC12" s="106"/>
      <c r="AD12" s="245">
        <v>172.3</v>
      </c>
      <c r="AE12" s="243">
        <f t="shared" si="11"/>
        <v>1175.5899999999999</v>
      </c>
      <c r="AF12" s="368"/>
      <c r="AG12" s="102"/>
      <c r="AH12" s="7">
        <f t="shared" si="5"/>
        <v>0</v>
      </c>
      <c r="AI12" s="84">
        <v>804077</v>
      </c>
      <c r="AJ12" s="76">
        <f t="shared" si="3"/>
        <v>3498</v>
      </c>
      <c r="AK12" s="84">
        <v>96884</v>
      </c>
      <c r="AL12" s="76">
        <f t="shared" si="4"/>
        <v>493</v>
      </c>
      <c r="AM12" s="76">
        <v>13226</v>
      </c>
      <c r="AN12" s="76">
        <f t="shared" si="6"/>
        <v>41</v>
      </c>
      <c r="AO12" s="76">
        <v>103466</v>
      </c>
      <c r="AP12" s="227">
        <v>9518</v>
      </c>
      <c r="AQ12" s="76">
        <v>131972</v>
      </c>
      <c r="AR12" s="227">
        <v>16155</v>
      </c>
      <c r="AS12" s="49">
        <f t="shared" si="12"/>
        <v>25673</v>
      </c>
      <c r="AT12" s="17"/>
      <c r="AV12" s="79"/>
      <c r="AW12" s="74"/>
      <c r="AX12" s="74"/>
    </row>
    <row r="13" spans="1:50" x14ac:dyDescent="0.25">
      <c r="B13" s="8">
        <f t="shared" si="7"/>
        <v>44964</v>
      </c>
      <c r="C13" s="42" t="str">
        <f t="shared" si="1"/>
        <v>Tue</v>
      </c>
      <c r="D13" s="180">
        <v>0.26</v>
      </c>
      <c r="E13" s="180">
        <v>0.38</v>
      </c>
      <c r="F13" s="180">
        <v>0.2</v>
      </c>
      <c r="G13" s="345">
        <f t="shared" si="8"/>
        <v>7014</v>
      </c>
      <c r="H13" s="274"/>
      <c r="I13" s="363">
        <v>12428</v>
      </c>
      <c r="J13" s="344">
        <f t="shared" si="9"/>
        <v>473</v>
      </c>
      <c r="K13" s="351">
        <v>4496108</v>
      </c>
      <c r="L13" s="348">
        <f t="shared" si="10"/>
        <v>21935</v>
      </c>
      <c r="M13" s="26"/>
      <c r="N13" s="26"/>
      <c r="O13" s="22"/>
      <c r="P13" s="22">
        <v>103466</v>
      </c>
      <c r="Q13" s="21" t="s">
        <v>106</v>
      </c>
      <c r="R13" s="22">
        <v>142915</v>
      </c>
      <c r="S13" s="21">
        <v>10943</v>
      </c>
      <c r="T13" s="109">
        <v>0</v>
      </c>
      <c r="U13" s="109">
        <v>0</v>
      </c>
      <c r="V13" s="105">
        <f t="shared" si="0"/>
        <v>0</v>
      </c>
      <c r="W13" s="109"/>
      <c r="X13" s="109"/>
      <c r="Y13" s="49">
        <f t="shared" si="2"/>
        <v>0</v>
      </c>
      <c r="Z13" s="44">
        <v>0</v>
      </c>
      <c r="AA13" s="44">
        <v>0</v>
      </c>
      <c r="AB13" s="44">
        <v>0</v>
      </c>
      <c r="AC13" s="106"/>
      <c r="AD13" s="245">
        <v>175.93</v>
      </c>
      <c r="AE13" s="243">
        <f t="shared" si="11"/>
        <v>1351.52</v>
      </c>
      <c r="AF13" s="370"/>
      <c r="AG13" s="7"/>
      <c r="AH13" s="7">
        <f t="shared" si="5"/>
        <v>0</v>
      </c>
      <c r="AI13" s="84">
        <v>807867</v>
      </c>
      <c r="AJ13" s="76">
        <f t="shared" si="3"/>
        <v>3790</v>
      </c>
      <c r="AK13" s="84">
        <v>97321</v>
      </c>
      <c r="AL13" s="76">
        <f t="shared" si="4"/>
        <v>437</v>
      </c>
      <c r="AM13" s="76">
        <v>13264</v>
      </c>
      <c r="AN13" s="76">
        <f t="shared" si="6"/>
        <v>38</v>
      </c>
      <c r="AO13" s="76">
        <v>103466</v>
      </c>
      <c r="AP13" s="227" t="s">
        <v>106</v>
      </c>
      <c r="AQ13" s="76">
        <v>142915</v>
      </c>
      <c r="AR13" s="227">
        <v>10943</v>
      </c>
      <c r="AS13" s="49">
        <f>AR13</f>
        <v>10943</v>
      </c>
      <c r="AT13" s="17"/>
      <c r="AV13" s="79"/>
      <c r="AW13" s="74"/>
      <c r="AX13" s="74"/>
    </row>
    <row r="14" spans="1:50" x14ac:dyDescent="0.25">
      <c r="B14" s="8">
        <f t="shared" si="7"/>
        <v>44965</v>
      </c>
      <c r="C14" s="42" t="str">
        <f t="shared" si="1"/>
        <v>Wed</v>
      </c>
      <c r="D14" s="180">
        <v>0.74</v>
      </c>
      <c r="E14" s="180">
        <v>0.66</v>
      </c>
      <c r="F14" s="180">
        <v>0.23</v>
      </c>
      <c r="G14" s="345">
        <f t="shared" si="8"/>
        <v>13610.5</v>
      </c>
      <c r="H14" s="274"/>
      <c r="I14" s="363">
        <v>12686</v>
      </c>
      <c r="J14" s="344">
        <f t="shared" si="9"/>
        <v>258</v>
      </c>
      <c r="K14" s="351">
        <v>4509761</v>
      </c>
      <c r="L14" s="348">
        <f t="shared" si="10"/>
        <v>13653</v>
      </c>
      <c r="M14" s="26"/>
      <c r="N14" s="26"/>
      <c r="O14" s="22"/>
      <c r="P14" s="22">
        <v>103466</v>
      </c>
      <c r="Q14" s="21" t="s">
        <v>106</v>
      </c>
      <c r="R14" s="22">
        <v>142915</v>
      </c>
      <c r="S14" s="21" t="s">
        <v>106</v>
      </c>
      <c r="T14" s="109">
        <v>0</v>
      </c>
      <c r="U14" s="109">
        <v>0</v>
      </c>
      <c r="V14" s="105">
        <f t="shared" si="0"/>
        <v>0</v>
      </c>
      <c r="W14" s="109"/>
      <c r="X14" s="109"/>
      <c r="Y14" s="49">
        <f t="shared" si="2"/>
        <v>0</v>
      </c>
      <c r="Z14" s="44">
        <v>0</v>
      </c>
      <c r="AA14" s="44">
        <v>0</v>
      </c>
      <c r="AB14" s="44">
        <v>0</v>
      </c>
      <c r="AC14" s="106"/>
      <c r="AD14" s="245">
        <v>174.21</v>
      </c>
      <c r="AE14" s="243">
        <f t="shared" si="11"/>
        <v>1525.73</v>
      </c>
      <c r="AF14" s="371"/>
      <c r="AG14" s="7"/>
      <c r="AH14" s="7">
        <f t="shared" si="5"/>
        <v>0</v>
      </c>
      <c r="AI14" s="84">
        <v>811170</v>
      </c>
      <c r="AJ14" s="76">
        <f t="shared" si="3"/>
        <v>3303</v>
      </c>
      <c r="AK14" s="84">
        <v>97782</v>
      </c>
      <c r="AL14" s="76">
        <f t="shared" si="4"/>
        <v>461</v>
      </c>
      <c r="AM14" s="76">
        <v>13289</v>
      </c>
      <c r="AN14" s="76">
        <f t="shared" si="6"/>
        <v>25</v>
      </c>
      <c r="AO14" s="76">
        <v>103466</v>
      </c>
      <c r="AP14" s="227" t="s">
        <v>106</v>
      </c>
      <c r="AQ14" s="76">
        <v>142915</v>
      </c>
      <c r="AR14" s="227" t="s">
        <v>106</v>
      </c>
      <c r="AS14" s="49"/>
      <c r="AT14" s="17"/>
      <c r="AV14" s="79"/>
      <c r="AW14" s="74"/>
      <c r="AX14" s="74"/>
    </row>
    <row r="15" spans="1:50" x14ac:dyDescent="0.25">
      <c r="B15" s="8">
        <f t="shared" si="7"/>
        <v>44966</v>
      </c>
      <c r="C15" s="42" t="str">
        <f t="shared" si="1"/>
        <v>Thu</v>
      </c>
      <c r="D15" s="180">
        <v>0.56000000000000005</v>
      </c>
      <c r="E15" s="180">
        <v>0.61</v>
      </c>
      <c r="F15" s="180">
        <v>0.81</v>
      </c>
      <c r="G15" s="345">
        <f t="shared" si="8"/>
        <v>16533</v>
      </c>
      <c r="H15" s="276"/>
      <c r="I15" s="363">
        <v>12929</v>
      </c>
      <c r="J15" s="344">
        <f t="shared" si="9"/>
        <v>243</v>
      </c>
      <c r="K15" s="351">
        <v>4531852</v>
      </c>
      <c r="L15" s="348">
        <f t="shared" si="10"/>
        <v>22091</v>
      </c>
      <c r="M15" s="25"/>
      <c r="N15" s="25"/>
      <c r="O15" s="22"/>
      <c r="P15" s="22">
        <v>103466</v>
      </c>
      <c r="Q15" s="21" t="s">
        <v>106</v>
      </c>
      <c r="R15" s="22">
        <v>142915</v>
      </c>
      <c r="S15" s="21" t="s">
        <v>106</v>
      </c>
      <c r="T15" s="109">
        <v>0</v>
      </c>
      <c r="U15" s="109">
        <v>0</v>
      </c>
      <c r="V15" s="105">
        <f t="shared" si="0"/>
        <v>0</v>
      </c>
      <c r="W15" s="109"/>
      <c r="X15" s="109"/>
      <c r="Y15" s="49">
        <f t="shared" si="2"/>
        <v>0</v>
      </c>
      <c r="Z15" s="44">
        <v>0</v>
      </c>
      <c r="AA15" s="44">
        <v>0</v>
      </c>
      <c r="AB15" s="44">
        <v>0</v>
      </c>
      <c r="AC15" s="106"/>
      <c r="AD15" s="245">
        <v>155.28</v>
      </c>
      <c r="AE15" s="243">
        <f t="shared" si="11"/>
        <v>1681.01</v>
      </c>
      <c r="AF15" s="371"/>
      <c r="AG15" s="7"/>
      <c r="AH15" s="7">
        <f t="shared" si="5"/>
        <v>0</v>
      </c>
      <c r="AI15" s="84">
        <v>819941</v>
      </c>
      <c r="AJ15" s="76">
        <f t="shared" si="3"/>
        <v>8771</v>
      </c>
      <c r="AK15" s="84">
        <v>98242</v>
      </c>
      <c r="AL15" s="76">
        <f t="shared" si="4"/>
        <v>460</v>
      </c>
      <c r="AM15" s="76">
        <v>13339</v>
      </c>
      <c r="AN15" s="76">
        <f t="shared" si="6"/>
        <v>50</v>
      </c>
      <c r="AO15" s="76">
        <v>103466</v>
      </c>
      <c r="AP15" s="227" t="s">
        <v>106</v>
      </c>
      <c r="AQ15" s="76">
        <v>142915</v>
      </c>
      <c r="AR15" s="227" t="s">
        <v>106</v>
      </c>
      <c r="AS15" s="49"/>
      <c r="AT15" s="17"/>
      <c r="AV15" s="79"/>
      <c r="AW15" s="74"/>
      <c r="AX15" s="74"/>
    </row>
    <row r="16" spans="1:50" x14ac:dyDescent="0.25">
      <c r="B16" s="8">
        <f t="shared" si="7"/>
        <v>44967</v>
      </c>
      <c r="C16" s="42" t="str">
        <f t="shared" si="1"/>
        <v>Fri</v>
      </c>
      <c r="D16" s="180">
        <v>0.75</v>
      </c>
      <c r="E16" s="180">
        <v>0.66</v>
      </c>
      <c r="F16" s="180">
        <v>0.63</v>
      </c>
      <c r="G16" s="345">
        <f t="shared" si="8"/>
        <v>17034</v>
      </c>
      <c r="H16" s="276"/>
      <c r="I16" s="363">
        <v>12937</v>
      </c>
      <c r="J16" s="344">
        <f t="shared" si="9"/>
        <v>8</v>
      </c>
      <c r="K16" s="352">
        <v>4551838</v>
      </c>
      <c r="L16" s="348">
        <f t="shared" si="10"/>
        <v>19986</v>
      </c>
      <c r="M16" s="23"/>
      <c r="N16" s="23"/>
      <c r="O16" s="22"/>
      <c r="P16" s="22">
        <v>103466</v>
      </c>
      <c r="Q16" s="21" t="s">
        <v>106</v>
      </c>
      <c r="R16" s="22">
        <v>142915</v>
      </c>
      <c r="S16" s="21" t="s">
        <v>106</v>
      </c>
      <c r="T16" s="109">
        <v>0</v>
      </c>
      <c r="U16" s="109">
        <v>0</v>
      </c>
      <c r="V16" s="105">
        <f t="shared" si="0"/>
        <v>0</v>
      </c>
      <c r="W16" s="109"/>
      <c r="X16" s="109"/>
      <c r="Y16" s="49">
        <f t="shared" si="2"/>
        <v>0</v>
      </c>
      <c r="Z16" s="44">
        <v>0</v>
      </c>
      <c r="AA16" s="44">
        <v>0</v>
      </c>
      <c r="AB16" s="44">
        <v>0</v>
      </c>
      <c r="AC16" s="106"/>
      <c r="AD16" s="244">
        <v>163.30000000000001</v>
      </c>
      <c r="AE16" s="243">
        <f t="shared" si="11"/>
        <v>1844.31</v>
      </c>
      <c r="AF16" s="371"/>
      <c r="AG16" s="7"/>
      <c r="AH16" s="7">
        <f t="shared" si="5"/>
        <v>0</v>
      </c>
      <c r="AI16" s="84">
        <v>819941</v>
      </c>
      <c r="AJ16" s="76">
        <f t="shared" si="3"/>
        <v>0</v>
      </c>
      <c r="AK16" s="84">
        <v>98242</v>
      </c>
      <c r="AL16" s="76">
        <f t="shared" si="4"/>
        <v>0</v>
      </c>
      <c r="AM16" s="76">
        <v>13339</v>
      </c>
      <c r="AN16" s="76">
        <f t="shared" si="6"/>
        <v>0</v>
      </c>
      <c r="AO16" s="76">
        <v>103466</v>
      </c>
      <c r="AP16" s="227" t="s">
        <v>106</v>
      </c>
      <c r="AQ16" s="76">
        <v>142915</v>
      </c>
      <c r="AR16" s="227" t="s">
        <v>106</v>
      </c>
      <c r="AS16" s="49"/>
      <c r="AT16" s="17"/>
      <c r="AV16" s="79"/>
      <c r="AW16" s="74"/>
      <c r="AX16" s="74"/>
    </row>
    <row r="17" spans="2:50" x14ac:dyDescent="0.25">
      <c r="B17" s="8">
        <f t="shared" si="7"/>
        <v>44968</v>
      </c>
      <c r="C17" s="42" t="str">
        <f t="shared" si="1"/>
        <v>Sat</v>
      </c>
      <c r="D17" s="180">
        <v>0.86</v>
      </c>
      <c r="E17" s="180">
        <v>0.82</v>
      </c>
      <c r="F17" s="180">
        <v>0.6</v>
      </c>
      <c r="G17" s="345">
        <f t="shared" si="8"/>
        <v>19038</v>
      </c>
      <c r="H17" s="275"/>
      <c r="I17" s="363">
        <v>13315</v>
      </c>
      <c r="J17" s="344">
        <f t="shared" si="9"/>
        <v>378</v>
      </c>
      <c r="K17" s="352">
        <v>4574690</v>
      </c>
      <c r="L17" s="348">
        <f t="shared" si="10"/>
        <v>22852</v>
      </c>
      <c r="M17" s="26"/>
      <c r="N17" s="26"/>
      <c r="O17" s="22"/>
      <c r="P17" s="22">
        <v>103466</v>
      </c>
      <c r="Q17" s="21" t="s">
        <v>106</v>
      </c>
      <c r="R17" s="22">
        <v>142915</v>
      </c>
      <c r="S17" s="21" t="s">
        <v>106</v>
      </c>
      <c r="T17" s="109">
        <v>0</v>
      </c>
      <c r="U17" s="109">
        <v>0</v>
      </c>
      <c r="V17" s="105">
        <f t="shared" ref="V17:V34" si="13">SUM(T17:U17)</f>
        <v>0</v>
      </c>
      <c r="W17" s="109"/>
      <c r="X17" s="109"/>
      <c r="Y17" s="49">
        <f t="shared" si="2"/>
        <v>0</v>
      </c>
      <c r="Z17" s="44">
        <v>0</v>
      </c>
      <c r="AA17" s="44">
        <v>0</v>
      </c>
      <c r="AB17" s="44">
        <v>0</v>
      </c>
      <c r="AC17" s="106"/>
      <c r="AD17" s="244">
        <v>162.46</v>
      </c>
      <c r="AE17" s="243">
        <f t="shared" si="11"/>
        <v>2006.77</v>
      </c>
      <c r="AF17" s="243"/>
      <c r="AG17" s="7"/>
      <c r="AH17" s="7">
        <f t="shared" si="5"/>
        <v>0</v>
      </c>
      <c r="AI17" s="84">
        <v>819941</v>
      </c>
      <c r="AJ17" s="76">
        <f t="shared" si="3"/>
        <v>0</v>
      </c>
      <c r="AK17" s="84">
        <v>98242</v>
      </c>
      <c r="AL17" s="76">
        <f t="shared" si="4"/>
        <v>0</v>
      </c>
      <c r="AM17" s="76">
        <v>13339</v>
      </c>
      <c r="AN17" s="76">
        <f t="shared" si="6"/>
        <v>0</v>
      </c>
      <c r="AO17" s="76">
        <v>103466</v>
      </c>
      <c r="AP17" s="227" t="s">
        <v>106</v>
      </c>
      <c r="AQ17" s="76">
        <v>142915</v>
      </c>
      <c r="AR17" s="227" t="s">
        <v>106</v>
      </c>
      <c r="AS17" s="49"/>
      <c r="AT17" s="17"/>
      <c r="AV17" s="79"/>
      <c r="AW17" s="74"/>
      <c r="AX17" s="74"/>
    </row>
    <row r="18" spans="2:50" x14ac:dyDescent="0.25">
      <c r="B18" s="8">
        <f t="shared" si="7"/>
        <v>44969</v>
      </c>
      <c r="C18" s="42" t="str">
        <f t="shared" si="1"/>
        <v>Sun</v>
      </c>
      <c r="D18" s="180">
        <v>0.77</v>
      </c>
      <c r="E18" s="180">
        <v>0.99</v>
      </c>
      <c r="F18" s="180">
        <v>0.63</v>
      </c>
      <c r="G18" s="345">
        <f t="shared" si="8"/>
        <v>19956.5</v>
      </c>
      <c r="H18" s="275"/>
      <c r="I18" s="363">
        <v>13478</v>
      </c>
      <c r="J18" s="344">
        <f t="shared" si="9"/>
        <v>163</v>
      </c>
      <c r="K18" s="352">
        <v>4593029</v>
      </c>
      <c r="L18" s="348">
        <f t="shared" si="10"/>
        <v>18339</v>
      </c>
      <c r="M18" s="26"/>
      <c r="N18" s="26"/>
      <c r="O18" s="22"/>
      <c r="P18" s="22">
        <v>103466</v>
      </c>
      <c r="Q18" s="21" t="s">
        <v>106</v>
      </c>
      <c r="R18" s="22">
        <v>142915</v>
      </c>
      <c r="S18" s="21" t="s">
        <v>106</v>
      </c>
      <c r="T18" s="109">
        <v>0</v>
      </c>
      <c r="U18" s="109">
        <v>0</v>
      </c>
      <c r="V18" s="105">
        <f t="shared" si="13"/>
        <v>0</v>
      </c>
      <c r="W18" s="109"/>
      <c r="X18" s="109"/>
      <c r="Y18" s="49">
        <f t="shared" si="2"/>
        <v>0</v>
      </c>
      <c r="Z18" s="44">
        <v>0</v>
      </c>
      <c r="AA18" s="44">
        <v>0</v>
      </c>
      <c r="AB18" s="44">
        <v>0</v>
      </c>
      <c r="AC18" s="106"/>
      <c r="AD18" s="239">
        <v>0</v>
      </c>
      <c r="AE18" s="243">
        <f t="shared" si="11"/>
        <v>2006.77</v>
      </c>
      <c r="AF18" s="243"/>
      <c r="AG18" s="7"/>
      <c r="AH18" s="7">
        <f t="shared" si="5"/>
        <v>0</v>
      </c>
      <c r="AI18" s="84">
        <v>820888</v>
      </c>
      <c r="AJ18" s="76">
        <f t="shared" si="3"/>
        <v>947</v>
      </c>
      <c r="AK18" s="84">
        <v>99147</v>
      </c>
      <c r="AL18" s="76">
        <f t="shared" si="4"/>
        <v>905</v>
      </c>
      <c r="AM18" s="76">
        <v>13409</v>
      </c>
      <c r="AN18" s="76">
        <f t="shared" si="6"/>
        <v>70</v>
      </c>
      <c r="AO18" s="76">
        <v>103466</v>
      </c>
      <c r="AP18" s="227" t="s">
        <v>106</v>
      </c>
      <c r="AQ18" s="76">
        <v>142915</v>
      </c>
      <c r="AR18" s="227" t="s">
        <v>106</v>
      </c>
      <c r="AS18" s="49"/>
      <c r="AT18" s="17"/>
      <c r="AV18" s="79"/>
      <c r="AW18" s="74"/>
      <c r="AX18" s="74"/>
    </row>
    <row r="19" spans="2:50" x14ac:dyDescent="0.25">
      <c r="B19" s="8">
        <f t="shared" si="7"/>
        <v>44970</v>
      </c>
      <c r="C19" s="42" t="str">
        <f t="shared" si="1"/>
        <v>Mon</v>
      </c>
      <c r="D19" s="180">
        <v>0.67</v>
      </c>
      <c r="E19" s="180">
        <v>0.57999999999999996</v>
      </c>
      <c r="F19" s="180">
        <v>0.79</v>
      </c>
      <c r="G19" s="345">
        <f t="shared" si="8"/>
        <v>17034</v>
      </c>
      <c r="H19" s="276"/>
      <c r="I19" s="363">
        <v>13496</v>
      </c>
      <c r="J19" s="344">
        <f t="shared" si="9"/>
        <v>18</v>
      </c>
      <c r="K19" s="352">
        <v>4613244</v>
      </c>
      <c r="L19" s="348">
        <f t="shared" si="10"/>
        <v>20215</v>
      </c>
      <c r="M19" s="26"/>
      <c r="N19" s="26"/>
      <c r="O19" s="22"/>
      <c r="P19" s="22">
        <v>103466</v>
      </c>
      <c r="Q19" s="21" t="s">
        <v>106</v>
      </c>
      <c r="R19" s="22">
        <v>142915</v>
      </c>
      <c r="S19" s="21" t="s">
        <v>106</v>
      </c>
      <c r="T19" s="109">
        <v>0</v>
      </c>
      <c r="U19" s="109">
        <v>0</v>
      </c>
      <c r="V19" s="105">
        <f t="shared" si="13"/>
        <v>0</v>
      </c>
      <c r="W19" s="109"/>
      <c r="X19" s="103"/>
      <c r="Y19" s="49">
        <f t="shared" si="2"/>
        <v>0</v>
      </c>
      <c r="Z19" s="44">
        <v>0</v>
      </c>
      <c r="AA19" s="44">
        <v>0</v>
      </c>
      <c r="AB19" s="44">
        <v>0</v>
      </c>
      <c r="AC19" s="106"/>
      <c r="AD19" s="244">
        <v>78.599999999999994</v>
      </c>
      <c r="AE19" s="243">
        <f t="shared" si="11"/>
        <v>2085.37</v>
      </c>
      <c r="AF19" s="243"/>
      <c r="AG19" s="7"/>
      <c r="AH19" s="7">
        <f t="shared" si="5"/>
        <v>0</v>
      </c>
      <c r="AI19" s="84">
        <v>820888</v>
      </c>
      <c r="AJ19" s="76">
        <f t="shared" si="3"/>
        <v>0</v>
      </c>
      <c r="AK19" s="84">
        <v>99147</v>
      </c>
      <c r="AL19" s="76">
        <f t="shared" si="4"/>
        <v>0</v>
      </c>
      <c r="AM19" s="76">
        <v>13452</v>
      </c>
      <c r="AN19" s="76">
        <f t="shared" si="6"/>
        <v>43</v>
      </c>
      <c r="AO19" s="76">
        <v>103466</v>
      </c>
      <c r="AP19" s="227" t="s">
        <v>106</v>
      </c>
      <c r="AQ19" s="76">
        <v>142915</v>
      </c>
      <c r="AR19" s="227" t="s">
        <v>106</v>
      </c>
      <c r="AS19" s="49"/>
      <c r="AT19" s="17"/>
      <c r="AV19" s="79"/>
      <c r="AW19" s="74"/>
      <c r="AX19" s="74"/>
    </row>
    <row r="20" spans="2:50" x14ac:dyDescent="0.25">
      <c r="B20" s="8">
        <f t="shared" si="7"/>
        <v>44971</v>
      </c>
      <c r="C20" s="42" t="str">
        <f t="shared" si="1"/>
        <v>Tue</v>
      </c>
      <c r="D20" s="180">
        <v>0.72</v>
      </c>
      <c r="E20" s="180">
        <v>0.67</v>
      </c>
      <c r="F20" s="180">
        <v>0.62</v>
      </c>
      <c r="G20" s="345">
        <f t="shared" si="8"/>
        <v>16783.5</v>
      </c>
      <c r="H20" s="276"/>
      <c r="I20" s="363">
        <v>13904</v>
      </c>
      <c r="J20" s="344">
        <f t="shared" si="9"/>
        <v>408</v>
      </c>
      <c r="K20" s="352">
        <v>4630399</v>
      </c>
      <c r="L20" s="348">
        <f t="shared" si="10"/>
        <v>17155</v>
      </c>
      <c r="M20" s="26"/>
      <c r="N20" s="26"/>
      <c r="O20" s="22"/>
      <c r="P20" s="22">
        <v>103466</v>
      </c>
      <c r="Q20" s="21" t="s">
        <v>106</v>
      </c>
      <c r="R20" s="22">
        <v>142915</v>
      </c>
      <c r="S20" s="21" t="s">
        <v>106</v>
      </c>
      <c r="T20" s="109">
        <v>0</v>
      </c>
      <c r="U20" s="109">
        <v>0</v>
      </c>
      <c r="V20" s="105">
        <f t="shared" si="13"/>
        <v>0</v>
      </c>
      <c r="W20" s="109"/>
      <c r="X20" s="103"/>
      <c r="Y20" s="49">
        <f t="shared" si="2"/>
        <v>0</v>
      </c>
      <c r="Z20" s="44">
        <v>0</v>
      </c>
      <c r="AA20" s="44">
        <v>0</v>
      </c>
      <c r="AB20" s="44">
        <v>0</v>
      </c>
      <c r="AC20" s="106"/>
      <c r="AD20" s="244">
        <v>202.84</v>
      </c>
      <c r="AE20" s="243">
        <f t="shared" si="11"/>
        <v>2288.21</v>
      </c>
      <c r="AF20" s="243"/>
      <c r="AG20" s="7"/>
      <c r="AH20" s="7">
        <f t="shared" si="5"/>
        <v>0</v>
      </c>
      <c r="AI20" s="84">
        <v>827261</v>
      </c>
      <c r="AJ20" s="76">
        <f t="shared" si="3"/>
        <v>6373</v>
      </c>
      <c r="AK20" s="84">
        <v>99204</v>
      </c>
      <c r="AL20" s="76">
        <f t="shared" si="4"/>
        <v>57</v>
      </c>
      <c r="AM20" s="76">
        <v>13495</v>
      </c>
      <c r="AN20" s="76">
        <f t="shared" si="6"/>
        <v>43</v>
      </c>
      <c r="AO20" s="76">
        <v>103466</v>
      </c>
      <c r="AP20" s="227" t="s">
        <v>106</v>
      </c>
      <c r="AQ20" s="76">
        <v>142915</v>
      </c>
      <c r="AR20" s="227" t="s">
        <v>106</v>
      </c>
      <c r="AS20" s="49"/>
      <c r="AT20" s="17"/>
      <c r="AV20" s="79"/>
      <c r="AW20" s="74"/>
      <c r="AX20" s="74"/>
    </row>
    <row r="21" spans="2:50" x14ac:dyDescent="0.25">
      <c r="B21" s="8">
        <f t="shared" si="7"/>
        <v>44972</v>
      </c>
      <c r="C21" s="42" t="str">
        <f t="shared" si="1"/>
        <v>Wed</v>
      </c>
      <c r="D21" s="180">
        <v>0.67</v>
      </c>
      <c r="E21" s="180">
        <v>0.6</v>
      </c>
      <c r="F21" s="180">
        <v>0.63</v>
      </c>
      <c r="G21" s="345">
        <f t="shared" si="8"/>
        <v>15865</v>
      </c>
      <c r="H21" s="276"/>
      <c r="I21" s="363">
        <v>14146</v>
      </c>
      <c r="J21" s="344">
        <f t="shared" si="9"/>
        <v>242</v>
      </c>
      <c r="K21" s="352">
        <v>4647342</v>
      </c>
      <c r="L21" s="348">
        <f t="shared" si="10"/>
        <v>16943</v>
      </c>
      <c r="M21" s="26"/>
      <c r="N21" s="26"/>
      <c r="O21" s="22"/>
      <c r="P21" s="22">
        <v>103466</v>
      </c>
      <c r="Q21" s="21" t="s">
        <v>106</v>
      </c>
      <c r="R21" s="22">
        <v>142915</v>
      </c>
      <c r="S21" s="21" t="s">
        <v>106</v>
      </c>
      <c r="T21" s="109">
        <v>0</v>
      </c>
      <c r="U21" s="109">
        <v>0</v>
      </c>
      <c r="V21" s="105">
        <f t="shared" si="13"/>
        <v>0</v>
      </c>
      <c r="W21" s="109"/>
      <c r="X21" s="103"/>
      <c r="Y21" s="49">
        <f t="shared" si="2"/>
        <v>0</v>
      </c>
      <c r="Z21" s="44">
        <v>0</v>
      </c>
      <c r="AA21" s="44">
        <v>0</v>
      </c>
      <c r="AB21" s="44">
        <v>0</v>
      </c>
      <c r="AC21" s="106"/>
      <c r="AD21" s="244">
        <v>129.91999999999999</v>
      </c>
      <c r="AE21" s="243">
        <f t="shared" si="11"/>
        <v>2418.13</v>
      </c>
      <c r="AF21" s="243"/>
      <c r="AG21" s="7"/>
      <c r="AH21" s="7">
        <f t="shared" si="5"/>
        <v>0</v>
      </c>
      <c r="AI21" s="84">
        <v>831406</v>
      </c>
      <c r="AJ21" s="76">
        <f t="shared" si="3"/>
        <v>4145</v>
      </c>
      <c r="AK21" s="84">
        <v>99917</v>
      </c>
      <c r="AL21" s="76">
        <f t="shared" si="4"/>
        <v>713</v>
      </c>
      <c r="AM21" s="76">
        <v>13540</v>
      </c>
      <c r="AN21" s="76">
        <f t="shared" si="6"/>
        <v>45</v>
      </c>
      <c r="AO21" s="76">
        <v>103466</v>
      </c>
      <c r="AP21" s="227" t="s">
        <v>106</v>
      </c>
      <c r="AQ21" s="76">
        <v>142915</v>
      </c>
      <c r="AR21" s="227" t="s">
        <v>106</v>
      </c>
      <c r="AS21" s="49"/>
      <c r="AT21" s="17"/>
      <c r="AW21" s="74"/>
      <c r="AX21" s="74"/>
    </row>
    <row r="22" spans="2:50" x14ac:dyDescent="0.25">
      <c r="B22" s="8">
        <f t="shared" si="7"/>
        <v>44973</v>
      </c>
      <c r="C22" s="42" t="str">
        <f t="shared" si="1"/>
        <v>Thu</v>
      </c>
      <c r="D22" s="180">
        <v>0.49</v>
      </c>
      <c r="E22" s="180">
        <v>0.49</v>
      </c>
      <c r="F22" s="180">
        <v>0.56000000000000005</v>
      </c>
      <c r="G22" s="345">
        <f t="shared" si="8"/>
        <v>12859</v>
      </c>
      <c r="H22" s="276"/>
      <c r="I22" s="363">
        <v>14406</v>
      </c>
      <c r="J22" s="344">
        <f t="shared" si="9"/>
        <v>260</v>
      </c>
      <c r="K22" s="351">
        <v>4664521</v>
      </c>
      <c r="L22" s="348">
        <f t="shared" si="10"/>
        <v>17179</v>
      </c>
      <c r="M22" s="26"/>
      <c r="N22" s="26"/>
      <c r="O22" s="22"/>
      <c r="P22" s="22">
        <v>103466</v>
      </c>
      <c r="Q22" s="21" t="s">
        <v>106</v>
      </c>
      <c r="R22" s="22">
        <v>142915</v>
      </c>
      <c r="S22" s="21" t="s">
        <v>106</v>
      </c>
      <c r="T22" s="109">
        <v>0</v>
      </c>
      <c r="U22" s="109">
        <v>0</v>
      </c>
      <c r="V22" s="105">
        <f t="shared" si="13"/>
        <v>0</v>
      </c>
      <c r="W22" s="109"/>
      <c r="X22" s="103"/>
      <c r="Y22" s="49">
        <f t="shared" si="2"/>
        <v>0</v>
      </c>
      <c r="Z22" s="44">
        <v>0</v>
      </c>
      <c r="AA22" s="44">
        <v>0</v>
      </c>
      <c r="AB22" s="44">
        <v>0</v>
      </c>
      <c r="AC22" s="106"/>
      <c r="AD22" s="244">
        <v>133.6</v>
      </c>
      <c r="AE22" s="243">
        <f t="shared" si="11"/>
        <v>2551.73</v>
      </c>
      <c r="AF22" s="243"/>
      <c r="AG22" s="7"/>
      <c r="AH22" s="7">
        <f t="shared" si="5"/>
        <v>0</v>
      </c>
      <c r="AI22" s="84">
        <v>834004</v>
      </c>
      <c r="AJ22" s="76">
        <f t="shared" si="3"/>
        <v>2598</v>
      </c>
      <c r="AK22" s="84">
        <v>100160</v>
      </c>
      <c r="AL22" s="76">
        <f t="shared" si="4"/>
        <v>243</v>
      </c>
      <c r="AM22" s="76">
        <v>13552</v>
      </c>
      <c r="AN22" s="76">
        <f t="shared" si="6"/>
        <v>12</v>
      </c>
      <c r="AO22" s="76">
        <v>103466</v>
      </c>
      <c r="AP22" s="227" t="s">
        <v>106</v>
      </c>
      <c r="AQ22" s="76">
        <v>142915</v>
      </c>
      <c r="AR22" s="227" t="s">
        <v>106</v>
      </c>
      <c r="AS22" s="49"/>
      <c r="AT22" s="17"/>
      <c r="AW22" s="74"/>
      <c r="AX22" s="74"/>
    </row>
    <row r="23" spans="2:50" x14ac:dyDescent="0.25">
      <c r="B23" s="8">
        <f t="shared" si="7"/>
        <v>44974</v>
      </c>
      <c r="C23" s="42" t="str">
        <f t="shared" si="1"/>
        <v>Fri</v>
      </c>
      <c r="D23" s="180">
        <v>0.62</v>
      </c>
      <c r="E23" s="180">
        <v>0.48</v>
      </c>
      <c r="F23" s="180">
        <v>0.69</v>
      </c>
      <c r="G23" s="345">
        <f t="shared" si="8"/>
        <v>14946.5</v>
      </c>
      <c r="H23" s="277"/>
      <c r="I23" s="363">
        <v>14469</v>
      </c>
      <c r="J23" s="344">
        <f t="shared" si="9"/>
        <v>63</v>
      </c>
      <c r="K23" s="351">
        <v>4680609</v>
      </c>
      <c r="L23" s="348">
        <f t="shared" si="10"/>
        <v>16088</v>
      </c>
      <c r="M23" s="26"/>
      <c r="N23" s="26"/>
      <c r="O23" s="22"/>
      <c r="P23" s="22">
        <v>103466</v>
      </c>
      <c r="Q23" s="21"/>
      <c r="R23" s="22">
        <v>142915</v>
      </c>
      <c r="S23" s="21"/>
      <c r="T23" s="109">
        <v>0</v>
      </c>
      <c r="U23" s="109">
        <v>0</v>
      </c>
      <c r="V23" s="105">
        <f t="shared" si="13"/>
        <v>0</v>
      </c>
      <c r="W23" s="109"/>
      <c r="X23" s="103"/>
      <c r="Y23" s="49">
        <f t="shared" si="2"/>
        <v>0</v>
      </c>
      <c r="Z23" s="44">
        <v>0</v>
      </c>
      <c r="AA23" s="44">
        <v>0</v>
      </c>
      <c r="AB23" s="44">
        <v>0</v>
      </c>
      <c r="AC23" s="106"/>
      <c r="AD23" s="244">
        <v>171.27</v>
      </c>
      <c r="AE23" s="243">
        <f t="shared" si="11"/>
        <v>2723</v>
      </c>
      <c r="AF23" s="243"/>
      <c r="AG23" s="7"/>
      <c r="AH23" s="7">
        <f t="shared" si="5"/>
        <v>0</v>
      </c>
      <c r="AI23" s="84">
        <v>837372</v>
      </c>
      <c r="AJ23" s="76">
        <f t="shared" si="3"/>
        <v>3368</v>
      </c>
      <c r="AK23" s="84">
        <v>100910</v>
      </c>
      <c r="AL23" s="76">
        <f t="shared" si="4"/>
        <v>750</v>
      </c>
      <c r="AM23" s="76">
        <v>13586</v>
      </c>
      <c r="AN23" s="76">
        <f t="shared" si="6"/>
        <v>34</v>
      </c>
      <c r="AO23" s="76">
        <v>103466</v>
      </c>
      <c r="AP23" s="227"/>
      <c r="AQ23" s="76">
        <v>142915</v>
      </c>
      <c r="AR23" s="227"/>
      <c r="AS23" s="49">
        <f t="shared" si="12"/>
        <v>0</v>
      </c>
      <c r="AT23" s="17"/>
    </row>
    <row r="24" spans="2:50" x14ac:dyDescent="0.25">
      <c r="B24" s="8">
        <f t="shared" si="7"/>
        <v>44975</v>
      </c>
      <c r="C24" s="42" t="str">
        <f t="shared" si="1"/>
        <v>Sat</v>
      </c>
      <c r="D24" s="180">
        <v>0.75</v>
      </c>
      <c r="E24" s="180">
        <v>0.6</v>
      </c>
      <c r="F24" s="180">
        <v>0.64</v>
      </c>
      <c r="G24" s="345">
        <f t="shared" si="8"/>
        <v>16616.5</v>
      </c>
      <c r="H24" s="277"/>
      <c r="I24" s="363">
        <v>14469</v>
      </c>
      <c r="J24" s="344">
        <f t="shared" si="9"/>
        <v>0</v>
      </c>
      <c r="K24" s="351">
        <v>4696106</v>
      </c>
      <c r="L24" s="348">
        <f t="shared" si="10"/>
        <v>15497</v>
      </c>
      <c r="M24" s="26"/>
      <c r="N24" s="26"/>
      <c r="O24" s="22"/>
      <c r="P24" s="22">
        <v>103466</v>
      </c>
      <c r="Q24" s="21"/>
      <c r="R24" s="22">
        <v>142915</v>
      </c>
      <c r="S24" s="21"/>
      <c r="T24" s="109">
        <v>0</v>
      </c>
      <c r="U24" s="109">
        <v>0</v>
      </c>
      <c r="V24" s="105">
        <f t="shared" si="13"/>
        <v>0</v>
      </c>
      <c r="W24" s="109"/>
      <c r="X24" s="103"/>
      <c r="Y24" s="49">
        <f t="shared" si="2"/>
        <v>0</v>
      </c>
      <c r="Z24" s="44">
        <v>0</v>
      </c>
      <c r="AA24" s="44">
        <v>0</v>
      </c>
      <c r="AB24" s="44">
        <v>0</v>
      </c>
      <c r="AC24" s="106"/>
      <c r="AD24" s="244">
        <v>159.01</v>
      </c>
      <c r="AE24" s="243">
        <f t="shared" si="11"/>
        <v>2882.01</v>
      </c>
      <c r="AF24" s="243"/>
      <c r="AG24" s="7"/>
      <c r="AH24" s="7">
        <f t="shared" si="5"/>
        <v>0</v>
      </c>
      <c r="AI24" s="84">
        <v>843516</v>
      </c>
      <c r="AJ24" s="76">
        <f t="shared" si="3"/>
        <v>6144</v>
      </c>
      <c r="AK24" s="84">
        <v>102040</v>
      </c>
      <c r="AL24" s="76">
        <f t="shared" si="4"/>
        <v>1130</v>
      </c>
      <c r="AM24" s="76">
        <v>13586</v>
      </c>
      <c r="AN24" s="76">
        <f t="shared" si="6"/>
        <v>0</v>
      </c>
      <c r="AO24" s="76">
        <v>103466</v>
      </c>
      <c r="AP24" s="227"/>
      <c r="AQ24" s="76">
        <v>142915</v>
      </c>
      <c r="AR24" s="227"/>
      <c r="AS24" s="49">
        <f t="shared" si="12"/>
        <v>0</v>
      </c>
      <c r="AT24" s="17"/>
      <c r="AV24" s="74"/>
    </row>
    <row r="25" spans="2:50" x14ac:dyDescent="0.25">
      <c r="B25" s="8">
        <f t="shared" si="7"/>
        <v>44976</v>
      </c>
      <c r="C25" s="42" t="str">
        <f t="shared" si="1"/>
        <v>Sun</v>
      </c>
      <c r="D25" s="180">
        <v>0.6</v>
      </c>
      <c r="E25" s="180">
        <v>0.57999999999999996</v>
      </c>
      <c r="F25" s="180">
        <v>0.77</v>
      </c>
      <c r="G25" s="345">
        <f t="shared" si="8"/>
        <v>16282.5</v>
      </c>
      <c r="H25" s="277"/>
      <c r="I25" s="363">
        <v>14469</v>
      </c>
      <c r="J25" s="344">
        <f t="shared" si="9"/>
        <v>0</v>
      </c>
      <c r="K25" s="351">
        <v>4710446</v>
      </c>
      <c r="L25" s="348">
        <f t="shared" si="10"/>
        <v>14340</v>
      </c>
      <c r="M25" s="26"/>
      <c r="N25" s="26"/>
      <c r="O25" s="22"/>
      <c r="P25" s="22">
        <v>103466</v>
      </c>
      <c r="Q25" s="21"/>
      <c r="R25" s="22">
        <v>142915</v>
      </c>
      <c r="S25" s="21"/>
      <c r="T25" s="109">
        <v>0</v>
      </c>
      <c r="U25" s="109">
        <v>0</v>
      </c>
      <c r="V25" s="105">
        <f t="shared" si="13"/>
        <v>0</v>
      </c>
      <c r="W25" s="109"/>
      <c r="X25" s="103"/>
      <c r="Y25" s="49">
        <f t="shared" si="2"/>
        <v>0</v>
      </c>
      <c r="Z25" s="44">
        <v>0</v>
      </c>
      <c r="AA25" s="44">
        <v>0</v>
      </c>
      <c r="AB25" s="44">
        <v>0</v>
      </c>
      <c r="AC25" s="106"/>
      <c r="AD25" s="244">
        <v>0</v>
      </c>
      <c r="AE25" s="243">
        <f>AD25+AE24</f>
        <v>2882.01</v>
      </c>
      <c r="AF25" s="243"/>
      <c r="AG25" s="335"/>
      <c r="AH25" s="7">
        <f t="shared" si="5"/>
        <v>0</v>
      </c>
      <c r="AI25" s="84">
        <v>846740</v>
      </c>
      <c r="AJ25" s="76">
        <f t="shared" si="3"/>
        <v>3224</v>
      </c>
      <c r="AK25" s="84">
        <v>102350</v>
      </c>
      <c r="AL25" s="76">
        <f t="shared" si="4"/>
        <v>310</v>
      </c>
      <c r="AM25" s="76">
        <v>13628</v>
      </c>
      <c r="AN25" s="76">
        <f t="shared" si="6"/>
        <v>42</v>
      </c>
      <c r="AO25" s="76">
        <v>103466</v>
      </c>
      <c r="AP25" s="227"/>
      <c r="AQ25" s="76">
        <v>142915</v>
      </c>
      <c r="AR25" s="227"/>
      <c r="AS25" s="49">
        <f t="shared" si="12"/>
        <v>0</v>
      </c>
      <c r="AT25" s="17"/>
      <c r="AV25" s="74"/>
    </row>
    <row r="26" spans="2:50" x14ac:dyDescent="0.25">
      <c r="B26" s="8">
        <f t="shared" si="7"/>
        <v>44977</v>
      </c>
      <c r="C26" s="42" t="str">
        <f t="shared" si="1"/>
        <v>Mon</v>
      </c>
      <c r="D26" s="180">
        <v>0.49</v>
      </c>
      <c r="E26" s="180">
        <v>0.48</v>
      </c>
      <c r="F26" s="180">
        <v>0.52</v>
      </c>
      <c r="G26" s="345">
        <f t="shared" si="8"/>
        <v>12441.5</v>
      </c>
      <c r="H26" s="277"/>
      <c r="I26" s="363">
        <v>14589</v>
      </c>
      <c r="J26" s="344">
        <f t="shared" si="9"/>
        <v>120</v>
      </c>
      <c r="K26" s="351">
        <v>4724598</v>
      </c>
      <c r="L26" s="348">
        <f t="shared" si="10"/>
        <v>14152</v>
      </c>
      <c r="M26" s="26"/>
      <c r="N26" s="26"/>
      <c r="O26" s="22"/>
      <c r="P26" s="22">
        <v>103466</v>
      </c>
      <c r="Q26" s="21"/>
      <c r="R26" s="22">
        <v>142915</v>
      </c>
      <c r="S26" s="21"/>
      <c r="T26" s="109">
        <v>0</v>
      </c>
      <c r="U26" s="109">
        <v>0</v>
      </c>
      <c r="V26" s="105">
        <f t="shared" si="13"/>
        <v>0</v>
      </c>
      <c r="W26" s="109"/>
      <c r="X26" s="103"/>
      <c r="Y26" s="49">
        <f t="shared" si="2"/>
        <v>0</v>
      </c>
      <c r="Z26" s="44">
        <v>0</v>
      </c>
      <c r="AA26" s="44">
        <v>0</v>
      </c>
      <c r="AB26" s="44">
        <v>0</v>
      </c>
      <c r="AC26" s="106"/>
      <c r="AD26" s="244">
        <v>148.99</v>
      </c>
      <c r="AE26" s="243">
        <f>AD26+AE25</f>
        <v>3031</v>
      </c>
      <c r="AF26" s="243"/>
      <c r="AG26" s="336"/>
      <c r="AH26" s="7">
        <f t="shared" si="5"/>
        <v>0</v>
      </c>
      <c r="AI26" s="84">
        <v>850323</v>
      </c>
      <c r="AJ26" s="76">
        <f t="shared" si="3"/>
        <v>3583</v>
      </c>
      <c r="AK26" s="84">
        <v>102775</v>
      </c>
      <c r="AL26" s="76">
        <f t="shared" si="4"/>
        <v>425</v>
      </c>
      <c r="AM26" s="76">
        <v>13657</v>
      </c>
      <c r="AN26" s="76">
        <f t="shared" si="6"/>
        <v>29</v>
      </c>
      <c r="AO26" s="76">
        <v>103466</v>
      </c>
      <c r="AP26" s="227"/>
      <c r="AQ26" s="76">
        <v>142915</v>
      </c>
      <c r="AR26" s="227"/>
      <c r="AS26" s="49">
        <f t="shared" si="12"/>
        <v>0</v>
      </c>
      <c r="AT26" s="17"/>
      <c r="AV26" s="74"/>
    </row>
    <row r="27" spans="2:50" x14ac:dyDescent="0.25">
      <c r="B27" s="8">
        <f t="shared" si="7"/>
        <v>44978</v>
      </c>
      <c r="C27" s="42" t="str">
        <f t="shared" si="1"/>
        <v>Tue</v>
      </c>
      <c r="D27" s="180">
        <v>0.65</v>
      </c>
      <c r="E27" s="180">
        <v>0.53</v>
      </c>
      <c r="F27" s="180">
        <v>0.35</v>
      </c>
      <c r="G27" s="345">
        <f t="shared" si="8"/>
        <v>12775.5</v>
      </c>
      <c r="H27" s="277"/>
      <c r="I27" s="363">
        <v>15098</v>
      </c>
      <c r="J27" s="344">
        <f t="shared" si="9"/>
        <v>509</v>
      </c>
      <c r="K27" s="351">
        <v>4735529</v>
      </c>
      <c r="L27" s="348">
        <f t="shared" si="10"/>
        <v>10931</v>
      </c>
      <c r="M27" s="26"/>
      <c r="N27" s="26"/>
      <c r="O27" s="22"/>
      <c r="P27" s="22">
        <v>103466</v>
      </c>
      <c r="Q27" s="21"/>
      <c r="R27" s="22">
        <v>142915</v>
      </c>
      <c r="S27" s="21"/>
      <c r="T27" s="109">
        <v>0</v>
      </c>
      <c r="U27" s="109">
        <v>0</v>
      </c>
      <c r="V27" s="107">
        <f t="shared" si="13"/>
        <v>0</v>
      </c>
      <c r="W27" s="109"/>
      <c r="X27" s="103"/>
      <c r="Y27" s="49">
        <f t="shared" si="2"/>
        <v>0</v>
      </c>
      <c r="Z27" s="44">
        <v>0</v>
      </c>
      <c r="AA27" s="44">
        <v>0</v>
      </c>
      <c r="AB27" s="44">
        <v>0</v>
      </c>
      <c r="AC27" s="106"/>
      <c r="AD27" s="244">
        <v>134.22</v>
      </c>
      <c r="AE27" s="243">
        <f t="shared" si="11"/>
        <v>3165.22</v>
      </c>
      <c r="AF27" s="243"/>
      <c r="AG27" s="136"/>
      <c r="AH27" s="7">
        <f t="shared" si="5"/>
        <v>0</v>
      </c>
      <c r="AI27" s="84">
        <v>853661</v>
      </c>
      <c r="AJ27" s="76">
        <f t="shared" si="3"/>
        <v>3338</v>
      </c>
      <c r="AK27" s="84">
        <v>103514</v>
      </c>
      <c r="AL27" s="76">
        <f t="shared" si="4"/>
        <v>739</v>
      </c>
      <c r="AM27" s="76">
        <v>13695</v>
      </c>
      <c r="AN27" s="76">
        <f t="shared" si="6"/>
        <v>38</v>
      </c>
      <c r="AO27" s="76">
        <v>103466</v>
      </c>
      <c r="AP27" s="227"/>
      <c r="AQ27" s="76">
        <v>142915</v>
      </c>
      <c r="AR27" s="227"/>
      <c r="AS27" s="49">
        <f t="shared" si="12"/>
        <v>0</v>
      </c>
      <c r="AT27" s="17"/>
      <c r="AV27" s="74"/>
    </row>
    <row r="28" spans="2:50" ht="15" x14ac:dyDescent="0.25">
      <c r="B28" s="8">
        <f t="shared" si="7"/>
        <v>44979</v>
      </c>
      <c r="C28" s="42" t="str">
        <f t="shared" si="1"/>
        <v>Wed</v>
      </c>
      <c r="D28" s="180">
        <v>0.52</v>
      </c>
      <c r="E28" s="180">
        <v>0.42</v>
      </c>
      <c r="F28" s="180">
        <v>0.36</v>
      </c>
      <c r="G28" s="345">
        <f t="shared" si="8"/>
        <v>10855</v>
      </c>
      <c r="H28" s="277"/>
      <c r="I28" s="363">
        <v>15327</v>
      </c>
      <c r="J28" s="344">
        <f t="shared" si="9"/>
        <v>229</v>
      </c>
      <c r="K28" s="351">
        <v>4749207</v>
      </c>
      <c r="L28" s="348">
        <f t="shared" si="10"/>
        <v>13678</v>
      </c>
      <c r="M28" s="26"/>
      <c r="N28" s="26"/>
      <c r="O28" s="22"/>
      <c r="P28" s="22">
        <v>103466</v>
      </c>
      <c r="Q28" s="21"/>
      <c r="R28" s="22">
        <v>142915</v>
      </c>
      <c r="S28" s="21"/>
      <c r="T28" s="109">
        <v>0</v>
      </c>
      <c r="U28" s="109">
        <v>0</v>
      </c>
      <c r="V28" s="107">
        <f t="shared" si="13"/>
        <v>0</v>
      </c>
      <c r="W28" s="109"/>
      <c r="X28" s="103"/>
      <c r="Y28" s="49">
        <f t="shared" si="2"/>
        <v>0</v>
      </c>
      <c r="Z28" s="44">
        <v>0</v>
      </c>
      <c r="AA28" s="44">
        <v>0</v>
      </c>
      <c r="AB28" s="44">
        <v>0</v>
      </c>
      <c r="AC28" s="106"/>
      <c r="AD28" s="246">
        <v>109.43</v>
      </c>
      <c r="AE28" s="243">
        <f t="shared" si="11"/>
        <v>3274.6499999999996</v>
      </c>
      <c r="AF28" s="243"/>
      <c r="AG28" s="136"/>
      <c r="AH28" s="7">
        <f t="shared" si="5"/>
        <v>0</v>
      </c>
      <c r="AI28" s="84">
        <v>857182</v>
      </c>
      <c r="AJ28" s="76">
        <f t="shared" si="3"/>
        <v>3521</v>
      </c>
      <c r="AK28" s="84">
        <v>104345</v>
      </c>
      <c r="AL28" s="76">
        <f t="shared" si="4"/>
        <v>831</v>
      </c>
      <c r="AM28" s="76">
        <v>13715</v>
      </c>
      <c r="AN28" s="76">
        <f t="shared" si="6"/>
        <v>20</v>
      </c>
      <c r="AO28" s="76">
        <v>103466</v>
      </c>
      <c r="AP28" s="227"/>
      <c r="AQ28" s="76">
        <v>142915</v>
      </c>
      <c r="AR28" s="227"/>
      <c r="AS28" s="49">
        <f t="shared" si="12"/>
        <v>0</v>
      </c>
      <c r="AT28" s="17"/>
      <c r="AV28" s="74"/>
    </row>
    <row r="29" spans="2:50" x14ac:dyDescent="0.25">
      <c r="B29" s="8">
        <f t="shared" si="7"/>
        <v>44980</v>
      </c>
      <c r="C29" s="42" t="str">
        <f t="shared" si="1"/>
        <v>Thu</v>
      </c>
      <c r="D29" s="180">
        <v>0.56999999999999995</v>
      </c>
      <c r="E29" s="180">
        <v>0.32</v>
      </c>
      <c r="F29" s="180">
        <v>0.45</v>
      </c>
      <c r="G29" s="345">
        <f t="shared" si="8"/>
        <v>11189</v>
      </c>
      <c r="H29" s="277"/>
      <c r="I29" s="363">
        <v>15585</v>
      </c>
      <c r="J29" s="344">
        <f t="shared" si="9"/>
        <v>258</v>
      </c>
      <c r="K29" s="351">
        <v>4762041</v>
      </c>
      <c r="L29" s="348">
        <f t="shared" si="10"/>
        <v>12834</v>
      </c>
      <c r="M29" s="26"/>
      <c r="N29" s="26"/>
      <c r="O29" s="22"/>
      <c r="P29" s="22">
        <v>103466</v>
      </c>
      <c r="Q29" s="21"/>
      <c r="R29" s="22">
        <v>142915</v>
      </c>
      <c r="S29" s="21"/>
      <c r="T29" s="109">
        <v>0</v>
      </c>
      <c r="U29" s="109">
        <v>0</v>
      </c>
      <c r="V29" s="107">
        <f t="shared" si="13"/>
        <v>0</v>
      </c>
      <c r="W29" s="109"/>
      <c r="X29" s="103"/>
      <c r="Y29" s="49">
        <f t="shared" si="2"/>
        <v>0</v>
      </c>
      <c r="Z29" s="44">
        <v>0</v>
      </c>
      <c r="AA29" s="44">
        <v>0</v>
      </c>
      <c r="AB29" s="44">
        <v>0</v>
      </c>
      <c r="AC29" s="106"/>
      <c r="AD29" s="244">
        <v>83.98</v>
      </c>
      <c r="AE29" s="243">
        <f t="shared" si="11"/>
        <v>3358.6299999999997</v>
      </c>
      <c r="AF29" s="243"/>
      <c r="AG29" s="136"/>
      <c r="AH29" s="7">
        <f t="shared" si="5"/>
        <v>0</v>
      </c>
      <c r="AI29" s="84">
        <v>859970</v>
      </c>
      <c r="AJ29" s="76">
        <f t="shared" si="3"/>
        <v>2788</v>
      </c>
      <c r="AK29" s="84">
        <v>105548</v>
      </c>
      <c r="AL29" s="76">
        <f t="shared" si="4"/>
        <v>1203</v>
      </c>
      <c r="AM29" s="76">
        <v>13775</v>
      </c>
      <c r="AN29" s="76">
        <f t="shared" si="6"/>
        <v>60</v>
      </c>
      <c r="AO29" s="76">
        <v>103466</v>
      </c>
      <c r="AP29" s="227"/>
      <c r="AQ29" s="76">
        <v>142915</v>
      </c>
      <c r="AR29" s="227"/>
      <c r="AS29" s="49">
        <f t="shared" si="12"/>
        <v>0</v>
      </c>
      <c r="AT29" s="17"/>
      <c r="AV29" s="74"/>
    </row>
    <row r="30" spans="2:50" x14ac:dyDescent="0.25">
      <c r="B30" s="8">
        <f t="shared" si="7"/>
        <v>44981</v>
      </c>
      <c r="C30" s="42" t="str">
        <f t="shared" si="1"/>
        <v>Fri</v>
      </c>
      <c r="D30" s="180">
        <v>0.56000000000000005</v>
      </c>
      <c r="E30" s="180">
        <v>0.57999999999999996</v>
      </c>
      <c r="F30" s="180">
        <v>0.46</v>
      </c>
      <c r="G30" s="345">
        <f t="shared" si="8"/>
        <v>13360</v>
      </c>
      <c r="H30" s="277"/>
      <c r="I30" s="363">
        <v>15935</v>
      </c>
      <c r="J30" s="344">
        <f t="shared" si="9"/>
        <v>350</v>
      </c>
      <c r="K30" s="353">
        <v>4774205</v>
      </c>
      <c r="L30" s="348">
        <f t="shared" si="10"/>
        <v>12164</v>
      </c>
      <c r="M30" s="26"/>
      <c r="N30" s="26"/>
      <c r="O30" s="22"/>
      <c r="P30" s="22">
        <v>103466</v>
      </c>
      <c r="Q30" s="21"/>
      <c r="R30" s="22">
        <v>142915</v>
      </c>
      <c r="S30" s="21"/>
      <c r="T30" s="109">
        <v>0</v>
      </c>
      <c r="U30" s="109">
        <v>0</v>
      </c>
      <c r="V30" s="107">
        <f t="shared" si="13"/>
        <v>0</v>
      </c>
      <c r="W30" s="109"/>
      <c r="X30" s="103"/>
      <c r="Y30" s="49">
        <f t="shared" si="2"/>
        <v>0</v>
      </c>
      <c r="Z30" s="44">
        <v>0</v>
      </c>
      <c r="AA30" s="44">
        <v>0</v>
      </c>
      <c r="AB30" s="44">
        <v>0</v>
      </c>
      <c r="AC30" s="106"/>
      <c r="AD30" s="244">
        <v>134.66</v>
      </c>
      <c r="AE30" s="243">
        <f t="shared" si="11"/>
        <v>3493.2899999999995</v>
      </c>
      <c r="AF30" s="243"/>
      <c r="AG30" s="7"/>
      <c r="AH30" s="7">
        <f t="shared" si="5"/>
        <v>0</v>
      </c>
      <c r="AI30" s="84">
        <v>859970</v>
      </c>
      <c r="AJ30" s="76">
        <f t="shared" si="3"/>
        <v>0</v>
      </c>
      <c r="AK30" s="84">
        <v>106318</v>
      </c>
      <c r="AL30" s="76">
        <f t="shared" si="4"/>
        <v>770</v>
      </c>
      <c r="AM30" s="76">
        <v>13775</v>
      </c>
      <c r="AN30" s="76">
        <f t="shared" si="6"/>
        <v>0</v>
      </c>
      <c r="AO30" s="76">
        <v>103466</v>
      </c>
      <c r="AP30" s="227"/>
      <c r="AQ30" s="76">
        <v>142915</v>
      </c>
      <c r="AR30" s="227"/>
      <c r="AS30" s="49">
        <f t="shared" si="12"/>
        <v>0</v>
      </c>
      <c r="AT30" s="17"/>
    </row>
    <row r="31" spans="2:50" x14ac:dyDescent="0.25">
      <c r="B31" s="8">
        <f t="shared" si="7"/>
        <v>44982</v>
      </c>
      <c r="C31" s="42" t="str">
        <f t="shared" si="1"/>
        <v>Sat</v>
      </c>
      <c r="D31" s="180">
        <v>0.61</v>
      </c>
      <c r="E31" s="180">
        <v>0.56000000000000005</v>
      </c>
      <c r="F31" s="180">
        <v>0.39</v>
      </c>
      <c r="G31" s="345">
        <f t="shared" si="8"/>
        <v>13026</v>
      </c>
      <c r="H31" s="277"/>
      <c r="I31" s="363">
        <v>15395</v>
      </c>
      <c r="J31" s="344">
        <f t="shared" si="9"/>
        <v>-540</v>
      </c>
      <c r="K31" s="353">
        <v>4787692</v>
      </c>
      <c r="L31" s="348">
        <f t="shared" si="10"/>
        <v>13487</v>
      </c>
      <c r="M31" s="26"/>
      <c r="N31" s="26"/>
      <c r="O31" s="22"/>
      <c r="P31" s="22">
        <v>103466</v>
      </c>
      <c r="Q31" s="21"/>
      <c r="R31" s="22">
        <v>142915</v>
      </c>
      <c r="S31" s="21"/>
      <c r="T31" s="109">
        <v>0</v>
      </c>
      <c r="U31" s="109">
        <v>0</v>
      </c>
      <c r="V31" s="107">
        <f t="shared" si="13"/>
        <v>0</v>
      </c>
      <c r="W31" s="109"/>
      <c r="X31" s="103"/>
      <c r="Y31" s="49">
        <f t="shared" si="2"/>
        <v>0</v>
      </c>
      <c r="Z31" s="44">
        <v>0</v>
      </c>
      <c r="AA31" s="44">
        <v>0</v>
      </c>
      <c r="AB31" s="44">
        <v>0</v>
      </c>
      <c r="AC31" s="106"/>
      <c r="AD31" s="247">
        <v>222</v>
      </c>
      <c r="AE31" s="243">
        <f t="shared" si="11"/>
        <v>3715.2899999999995</v>
      </c>
      <c r="AF31" s="243"/>
      <c r="AG31" s="7"/>
      <c r="AH31" s="7">
        <f t="shared" si="5"/>
        <v>0</v>
      </c>
      <c r="AI31" s="84">
        <v>866364</v>
      </c>
      <c r="AJ31" s="76">
        <f t="shared" si="3"/>
        <v>6394</v>
      </c>
      <c r="AK31" s="84">
        <v>106318</v>
      </c>
      <c r="AL31" s="76">
        <f t="shared" si="4"/>
        <v>0</v>
      </c>
      <c r="AM31" s="76">
        <v>13775</v>
      </c>
      <c r="AN31" s="76">
        <f t="shared" si="6"/>
        <v>0</v>
      </c>
      <c r="AO31" s="76">
        <v>103466</v>
      </c>
      <c r="AP31" s="227"/>
      <c r="AQ31" s="76">
        <v>142915</v>
      </c>
      <c r="AR31" s="227"/>
      <c r="AS31" s="49">
        <f t="shared" si="12"/>
        <v>0</v>
      </c>
      <c r="AT31" s="17"/>
    </row>
    <row r="32" spans="2:50" x14ac:dyDescent="0.25">
      <c r="B32" s="8">
        <f t="shared" si="7"/>
        <v>44983</v>
      </c>
      <c r="C32" s="42" t="str">
        <f t="shared" si="1"/>
        <v>Sun</v>
      </c>
      <c r="D32" s="180">
        <v>0.76</v>
      </c>
      <c r="E32" s="180">
        <v>0.6</v>
      </c>
      <c r="F32" s="180">
        <v>0.46</v>
      </c>
      <c r="G32" s="345">
        <f t="shared" si="8"/>
        <v>15197</v>
      </c>
      <c r="H32" s="277"/>
      <c r="I32" s="363">
        <v>16104</v>
      </c>
      <c r="J32" s="344">
        <f t="shared" si="9"/>
        <v>709</v>
      </c>
      <c r="K32" s="354">
        <v>4798115</v>
      </c>
      <c r="L32" s="348">
        <f t="shared" si="10"/>
        <v>10423</v>
      </c>
      <c r="M32" s="26"/>
      <c r="N32" s="26"/>
      <c r="O32" s="22"/>
      <c r="P32" s="22">
        <v>103466</v>
      </c>
      <c r="Q32" s="21"/>
      <c r="R32" s="22">
        <v>142915</v>
      </c>
      <c r="S32" s="21"/>
      <c r="T32" s="109">
        <v>0</v>
      </c>
      <c r="U32" s="109">
        <v>0</v>
      </c>
      <c r="V32" s="107">
        <f t="shared" si="13"/>
        <v>0</v>
      </c>
      <c r="W32" s="109"/>
      <c r="X32" s="103"/>
      <c r="Y32" s="49">
        <f t="shared" si="2"/>
        <v>0</v>
      </c>
      <c r="Z32" s="44">
        <v>0</v>
      </c>
      <c r="AA32" s="44">
        <v>0</v>
      </c>
      <c r="AB32" s="44">
        <v>0</v>
      </c>
      <c r="AC32" s="106"/>
      <c r="AD32" s="247">
        <v>0</v>
      </c>
      <c r="AE32" s="243">
        <f t="shared" si="11"/>
        <v>3715.2899999999995</v>
      </c>
      <c r="AF32" s="243"/>
      <c r="AG32" s="7"/>
      <c r="AH32" s="7">
        <f t="shared" si="5"/>
        <v>0</v>
      </c>
      <c r="AI32" s="84">
        <v>869370</v>
      </c>
      <c r="AJ32" s="76">
        <f t="shared" si="3"/>
        <v>3006</v>
      </c>
      <c r="AK32" s="84">
        <v>106318</v>
      </c>
      <c r="AL32" s="76">
        <f t="shared" si="4"/>
        <v>0</v>
      </c>
      <c r="AM32" s="76">
        <v>13823</v>
      </c>
      <c r="AN32" s="76">
        <f t="shared" si="6"/>
        <v>48</v>
      </c>
      <c r="AO32" s="76">
        <v>103466</v>
      </c>
      <c r="AP32" s="227"/>
      <c r="AQ32" s="76">
        <v>142915</v>
      </c>
      <c r="AR32" s="227"/>
      <c r="AS32" s="49">
        <f t="shared" si="12"/>
        <v>0</v>
      </c>
      <c r="AT32" s="17"/>
    </row>
    <row r="33" spans="2:46" x14ac:dyDescent="0.25">
      <c r="B33" s="8">
        <f t="shared" si="7"/>
        <v>44984</v>
      </c>
      <c r="C33" s="42" t="str">
        <f t="shared" si="1"/>
        <v>Mon</v>
      </c>
      <c r="D33" s="180">
        <v>0.23</v>
      </c>
      <c r="E33" s="180">
        <v>0.15</v>
      </c>
      <c r="F33" s="180">
        <v>0.26</v>
      </c>
      <c r="G33" s="345">
        <f t="shared" si="8"/>
        <v>5344</v>
      </c>
      <c r="H33" s="277"/>
      <c r="I33" s="363">
        <v>16457</v>
      </c>
      <c r="J33" s="344">
        <f t="shared" si="9"/>
        <v>353</v>
      </c>
      <c r="K33" s="354">
        <v>4815016</v>
      </c>
      <c r="L33" s="348">
        <f>K33-K32</f>
        <v>16901</v>
      </c>
      <c r="M33" s="26"/>
      <c r="N33" s="26"/>
      <c r="O33" s="22"/>
      <c r="P33" s="22">
        <v>103466</v>
      </c>
      <c r="Q33" s="21"/>
      <c r="R33" s="22">
        <v>142915</v>
      </c>
      <c r="S33" s="21"/>
      <c r="T33" s="109">
        <v>0</v>
      </c>
      <c r="U33" s="109">
        <v>0</v>
      </c>
      <c r="V33" s="107">
        <f t="shared" si="13"/>
        <v>0</v>
      </c>
      <c r="W33" s="109"/>
      <c r="X33" s="103"/>
      <c r="Y33" s="49">
        <f t="shared" si="2"/>
        <v>0</v>
      </c>
      <c r="Z33" s="44">
        <v>0</v>
      </c>
      <c r="AA33" s="44">
        <v>0</v>
      </c>
      <c r="AB33" s="44">
        <v>0</v>
      </c>
      <c r="AC33" s="106"/>
      <c r="AD33" s="247">
        <v>66.59</v>
      </c>
      <c r="AE33" s="243">
        <f t="shared" si="11"/>
        <v>3781.8799999999997</v>
      </c>
      <c r="AF33" s="243"/>
      <c r="AG33" s="7"/>
      <c r="AH33" s="7">
        <f t="shared" si="5"/>
        <v>0</v>
      </c>
      <c r="AI33" s="84">
        <v>871845</v>
      </c>
      <c r="AJ33" s="76">
        <f t="shared" si="3"/>
        <v>2475</v>
      </c>
      <c r="AK33" s="84">
        <v>105899</v>
      </c>
      <c r="AL33" s="76">
        <f t="shared" si="4"/>
        <v>-419</v>
      </c>
      <c r="AM33" s="76">
        <v>13836</v>
      </c>
      <c r="AN33" s="76">
        <f t="shared" si="6"/>
        <v>13</v>
      </c>
      <c r="AO33" s="76">
        <v>103466</v>
      </c>
      <c r="AP33" s="227"/>
      <c r="AQ33" s="76">
        <v>142915</v>
      </c>
      <c r="AR33" s="227"/>
      <c r="AS33" s="49">
        <f t="shared" si="12"/>
        <v>0</v>
      </c>
      <c r="AT33" s="17"/>
    </row>
    <row r="34" spans="2:46" ht="15" x14ac:dyDescent="0.25">
      <c r="B34" s="8">
        <f t="shared" si="7"/>
        <v>44985</v>
      </c>
      <c r="C34" s="42" t="str">
        <f t="shared" si="1"/>
        <v>Tue</v>
      </c>
      <c r="D34" s="180">
        <v>0.80900000000000005</v>
      </c>
      <c r="E34" s="180">
        <v>0.51400000000000001</v>
      </c>
      <c r="F34" s="180">
        <v>0.48499999999999999</v>
      </c>
      <c r="G34" s="345">
        <f t="shared" si="8"/>
        <v>15096.800000000001</v>
      </c>
      <c r="H34" s="277"/>
      <c r="I34" s="363">
        <v>16686</v>
      </c>
      <c r="J34" s="344">
        <f t="shared" si="9"/>
        <v>229</v>
      </c>
      <c r="K34" s="355">
        <v>4827029</v>
      </c>
      <c r="L34" s="348">
        <f t="shared" si="10"/>
        <v>12013</v>
      </c>
      <c r="M34" s="26"/>
      <c r="N34" s="26"/>
      <c r="O34" s="22"/>
      <c r="P34" s="22">
        <v>103466</v>
      </c>
      <c r="Q34" s="21"/>
      <c r="R34" s="22">
        <v>142915</v>
      </c>
      <c r="S34" s="21"/>
      <c r="T34" s="109">
        <v>0</v>
      </c>
      <c r="U34" s="109">
        <v>0</v>
      </c>
      <c r="V34" s="107">
        <f t="shared" si="13"/>
        <v>0</v>
      </c>
      <c r="W34" s="109"/>
      <c r="X34" s="103"/>
      <c r="Y34" s="49">
        <f t="shared" si="2"/>
        <v>0</v>
      </c>
      <c r="Z34" s="44">
        <v>0</v>
      </c>
      <c r="AA34" s="44">
        <v>0</v>
      </c>
      <c r="AB34" s="44">
        <v>0</v>
      </c>
      <c r="AC34" s="106"/>
      <c r="AD34" s="248">
        <v>148.13</v>
      </c>
      <c r="AE34" s="243">
        <f t="shared" si="11"/>
        <v>3930.0099999999998</v>
      </c>
      <c r="AF34" s="243"/>
      <c r="AG34" s="7"/>
      <c r="AH34" s="7">
        <f t="shared" si="5"/>
        <v>0</v>
      </c>
      <c r="AI34" s="84">
        <v>874153</v>
      </c>
      <c r="AJ34" s="76">
        <f t="shared" si="3"/>
        <v>2308</v>
      </c>
      <c r="AK34" s="84">
        <v>106708</v>
      </c>
      <c r="AL34" s="76">
        <f t="shared" si="4"/>
        <v>809</v>
      </c>
      <c r="AM34" s="76">
        <v>13871</v>
      </c>
      <c r="AN34" s="76">
        <f t="shared" si="6"/>
        <v>35</v>
      </c>
      <c r="AO34" s="76">
        <v>103466</v>
      </c>
      <c r="AP34" s="227"/>
      <c r="AQ34" s="76">
        <v>142915</v>
      </c>
      <c r="AR34" s="227"/>
      <c r="AS34" s="49">
        <f t="shared" si="12"/>
        <v>0</v>
      </c>
      <c r="AT34" s="17"/>
    </row>
    <row r="35" spans="2:46" x14ac:dyDescent="0.25">
      <c r="B35" s="14" t="s">
        <v>48</v>
      </c>
      <c r="C35" s="14"/>
      <c r="D35" s="69">
        <f>AVERAGE(D7:D34)</f>
        <v>0.58710714285714283</v>
      </c>
      <c r="E35" s="69">
        <f>AVERAGE(E7:E34)</f>
        <v>0.51264285714285718</v>
      </c>
      <c r="F35" s="69">
        <f>AVERAGE(F7:F34)</f>
        <v>0.48803571428571424</v>
      </c>
      <c r="G35" s="364"/>
      <c r="H35" s="341" t="e">
        <f>AVERAGE(H7:H34)</f>
        <v>#DIV/0!</v>
      </c>
      <c r="I35" s="365">
        <f>MAX(I7:I34)</f>
        <v>16686</v>
      </c>
      <c r="J35" s="340">
        <f>SUM(J7:J34)</f>
        <v>7802</v>
      </c>
      <c r="K35" s="365">
        <f>MAX(K7:K34)</f>
        <v>4827029</v>
      </c>
      <c r="L35" s="340">
        <f>SUM(L7:L34)</f>
        <v>433488</v>
      </c>
      <c r="M35" s="67"/>
      <c r="N35" s="67"/>
      <c r="O35" s="340">
        <f>SUM(O7:O34)</f>
        <v>0</v>
      </c>
      <c r="P35" s="67"/>
      <c r="Q35" s="65">
        <f>SUM(Q7:Q34)</f>
        <v>17474</v>
      </c>
      <c r="R35" s="67"/>
      <c r="S35" s="65">
        <f>SUM(S7:S34)</f>
        <v>27104</v>
      </c>
      <c r="T35" s="65">
        <f t="shared" ref="T35:AC35" si="14">SUM(T7:T34)</f>
        <v>0</v>
      </c>
      <c r="U35" s="65">
        <f t="shared" si="14"/>
        <v>0</v>
      </c>
      <c r="V35" s="65">
        <f t="shared" si="14"/>
        <v>0</v>
      </c>
      <c r="W35" s="65">
        <f t="shared" si="14"/>
        <v>0</v>
      </c>
      <c r="X35" s="65">
        <f t="shared" si="14"/>
        <v>0</v>
      </c>
      <c r="Y35" s="65">
        <f t="shared" si="14"/>
        <v>0</v>
      </c>
      <c r="Z35" s="65">
        <f t="shared" si="14"/>
        <v>0</v>
      </c>
      <c r="AA35" s="65">
        <f t="shared" si="14"/>
        <v>0</v>
      </c>
      <c r="AB35" s="260">
        <f t="shared" si="14"/>
        <v>0</v>
      </c>
      <c r="AC35" s="65">
        <f t="shared" si="14"/>
        <v>0</v>
      </c>
      <c r="AD35" s="99">
        <f>SUM(AD7:AD34)</f>
        <v>3930.0099999999998</v>
      </c>
      <c r="AE35" s="11"/>
      <c r="AF35" s="258" t="e">
        <f>AVERAGE(AF7:AF34)</f>
        <v>#DIV/0!</v>
      </c>
      <c r="AG35" s="7"/>
      <c r="AH35" s="68"/>
      <c r="AI35" s="66"/>
      <c r="AJ35" s="65">
        <f>SUM(AJ7:AJ34)</f>
        <v>97950</v>
      </c>
      <c r="AK35" s="99"/>
      <c r="AL35" s="65">
        <f>SUM(AL7:AL34)</f>
        <v>13981</v>
      </c>
      <c r="AM35" s="65">
        <f>'Jan2023'!AM37-'Feb2023'!AM34</f>
        <v>-823</v>
      </c>
      <c r="AN35" s="65">
        <f>SUM(AN7:AN34)</f>
        <v>823</v>
      </c>
      <c r="AO35" s="67"/>
      <c r="AP35" s="65">
        <v>17474</v>
      </c>
      <c r="AQ35" s="67"/>
      <c r="AR35" s="65">
        <v>27104</v>
      </c>
      <c r="AS35" s="65">
        <f>SUM(AS7:AS34)</f>
        <v>44578</v>
      </c>
      <c r="AT35" s="5"/>
    </row>
    <row r="36" spans="2:46" x14ac:dyDescent="0.25">
      <c r="H36" s="372"/>
      <c r="J36" s="72" t="s">
        <v>107</v>
      </c>
      <c r="K36" s="63"/>
      <c r="L36" s="347"/>
      <c r="N36" s="374"/>
      <c r="O36" s="347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236"/>
      <c r="AE36" s="63"/>
      <c r="AG36" s="63"/>
      <c r="AH36" s="63"/>
      <c r="AL36" s="63"/>
      <c r="AM36" s="63"/>
      <c r="AN36" s="63"/>
      <c r="AR36" s="63"/>
      <c r="AS36" s="63"/>
    </row>
    <row r="37" spans="2:46" x14ac:dyDescent="0.25">
      <c r="G37" s="81"/>
      <c r="I37" s="88"/>
      <c r="J37" s="87"/>
      <c r="K37" s="88"/>
      <c r="L37" s="88"/>
      <c r="N37" s="374"/>
      <c r="O37" s="89"/>
      <c r="P37" s="89"/>
      <c r="Q37" s="89"/>
      <c r="R37" s="89"/>
      <c r="S37" s="89"/>
      <c r="AD37" s="237"/>
      <c r="AF37" s="85"/>
      <c r="AG37" s="74"/>
      <c r="AI37" s="373"/>
      <c r="AJ37" s="85"/>
      <c r="AK37" s="373"/>
      <c r="AL37" s="63"/>
      <c r="AM37" s="63"/>
      <c r="AN37" s="73"/>
      <c r="AO37" s="89"/>
      <c r="AP37" s="89"/>
      <c r="AR37" s="91"/>
      <c r="AS37" s="91"/>
      <c r="AT37" s="73">
        <f>SUM(AI37:AK37)</f>
        <v>0</v>
      </c>
    </row>
    <row r="38" spans="2:46" x14ac:dyDescent="0.25">
      <c r="C38" s="16"/>
      <c r="J38" s="80"/>
      <c r="K38" s="331" t="s">
        <v>97</v>
      </c>
      <c r="N38" s="374"/>
      <c r="S38" s="331" t="s">
        <v>88</v>
      </c>
      <c r="T38" s="332"/>
      <c r="AF38" s="86"/>
      <c r="AI38" s="86"/>
      <c r="AJ38" s="86"/>
      <c r="AK38" s="86"/>
      <c r="AL38" s="63"/>
      <c r="AM38" s="63"/>
      <c r="AN38" s="73"/>
      <c r="AQ38" s="88"/>
    </row>
    <row r="39" spans="2:46" x14ac:dyDescent="0.25">
      <c r="K39" s="331" t="s">
        <v>74</v>
      </c>
      <c r="L39" s="347">
        <f>L35</f>
        <v>433488</v>
      </c>
      <c r="S39" s="331" t="s">
        <v>74</v>
      </c>
      <c r="T39" s="333">
        <f>Q35+S35-S32</f>
        <v>44578</v>
      </c>
      <c r="AL39" s="63"/>
      <c r="AM39" s="63"/>
      <c r="AN39" s="63"/>
    </row>
    <row r="40" spans="2:46" x14ac:dyDescent="0.25">
      <c r="K40" s="331" t="s">
        <v>75</v>
      </c>
      <c r="L40" s="63">
        <f>Y35</f>
        <v>0</v>
      </c>
      <c r="S40" s="331" t="s">
        <v>75</v>
      </c>
      <c r="T40" s="333">
        <f>AU35</f>
        <v>0</v>
      </c>
      <c r="AL40" s="63"/>
      <c r="AM40" s="63"/>
    </row>
    <row r="41" spans="2:46" x14ac:dyDescent="0.25">
      <c r="L41" s="73"/>
      <c r="S41" s="331" t="s">
        <v>76</v>
      </c>
      <c r="T41" s="331">
        <f>ABS(T39-T40)</f>
        <v>44578</v>
      </c>
      <c r="AL41" s="63"/>
      <c r="AM41" s="63"/>
    </row>
    <row r="42" spans="2:46" x14ac:dyDescent="0.25">
      <c r="K42" s="357" t="s">
        <v>102</v>
      </c>
      <c r="L42" s="358">
        <f>L40-L41</f>
        <v>0</v>
      </c>
      <c r="M42" s="1" t="s">
        <v>103</v>
      </c>
      <c r="S42" s="331" t="s">
        <v>77</v>
      </c>
      <c r="T42" s="334"/>
      <c r="AL42" s="63"/>
      <c r="AM42" s="63"/>
    </row>
    <row r="43" spans="2:46" x14ac:dyDescent="0.25">
      <c r="AL43" s="63"/>
      <c r="AM43" s="63"/>
    </row>
    <row r="44" spans="2:46" x14ac:dyDescent="0.25">
      <c r="K44" s="359" t="s">
        <v>104</v>
      </c>
      <c r="L44" s="360">
        <f>L42*13.5</f>
        <v>0</v>
      </c>
      <c r="M44" s="359" t="s">
        <v>105</v>
      </c>
      <c r="AL44" s="63"/>
      <c r="AM44" s="63"/>
    </row>
    <row r="45" spans="2:46" x14ac:dyDescent="0.25">
      <c r="AL45" s="63"/>
      <c r="AM45" s="63"/>
    </row>
    <row r="46" spans="2:46" x14ac:dyDescent="0.25">
      <c r="AL46" s="63"/>
      <c r="AM46" s="63"/>
    </row>
    <row r="47" spans="2:46" x14ac:dyDescent="0.25">
      <c r="AL47" s="63"/>
      <c r="AM47" s="63"/>
    </row>
    <row r="48" spans="2:46" x14ac:dyDescent="0.25">
      <c r="AL48" s="63"/>
      <c r="AM48" s="63"/>
    </row>
    <row r="49" spans="38:39" x14ac:dyDescent="0.25">
      <c r="AL49" s="63"/>
      <c r="AM49" s="63"/>
    </row>
    <row r="50" spans="38:39" x14ac:dyDescent="0.25">
      <c r="AL50" s="63"/>
      <c r="AM50" s="63"/>
    </row>
    <row r="51" spans="38:39" x14ac:dyDescent="0.25">
      <c r="AL51" s="63"/>
      <c r="AM51" s="63"/>
    </row>
    <row r="52" spans="38:39" x14ac:dyDescent="0.25">
      <c r="AL52" s="63"/>
      <c r="AM52" s="63"/>
    </row>
    <row r="53" spans="38:39" x14ac:dyDescent="0.25">
      <c r="AL53" s="63"/>
      <c r="AM53" s="63"/>
    </row>
    <row r="54" spans="38:39" x14ac:dyDescent="0.25">
      <c r="AL54" s="63"/>
      <c r="AM54" s="63"/>
    </row>
    <row r="55" spans="38:39" x14ac:dyDescent="0.25">
      <c r="AL55" s="63"/>
      <c r="AM55" s="63"/>
    </row>
    <row r="56" spans="38:39" x14ac:dyDescent="0.25">
      <c r="AL56" s="63"/>
      <c r="AM56" s="63"/>
    </row>
    <row r="57" spans="38:39" x14ac:dyDescent="0.25">
      <c r="AL57" s="63"/>
      <c r="AM57" s="63"/>
    </row>
    <row r="58" spans="38:39" x14ac:dyDescent="0.25">
      <c r="AL58" s="63"/>
      <c r="AM58" s="63"/>
    </row>
    <row r="59" spans="38:39" x14ac:dyDescent="0.25">
      <c r="AL59" s="63"/>
      <c r="AM59" s="63"/>
    </row>
    <row r="60" spans="38:39" x14ac:dyDescent="0.25">
      <c r="AL60" s="63"/>
      <c r="AM60" s="63"/>
    </row>
    <row r="61" spans="38:39" x14ac:dyDescent="0.25">
      <c r="AL61" s="63"/>
    </row>
    <row r="62" spans="38:39" x14ac:dyDescent="0.25">
      <c r="AL62" s="63"/>
    </row>
    <row r="63" spans="38:39" x14ac:dyDescent="0.25">
      <c r="AL63" s="63"/>
    </row>
    <row r="64" spans="38:39" x14ac:dyDescent="0.25">
      <c r="AL64" s="63"/>
    </row>
    <row r="65" spans="38:38" x14ac:dyDescent="0.25">
      <c r="AL65" s="63"/>
    </row>
  </sheetData>
  <mergeCells count="28">
    <mergeCell ref="AI5:AJ5"/>
    <mergeCell ref="AK5:AL5"/>
    <mergeCell ref="AM5:AN5"/>
    <mergeCell ref="AO5:AP5"/>
    <mergeCell ref="AQ5:AR5"/>
    <mergeCell ref="AG5:AH5"/>
    <mergeCell ref="P4:Q5"/>
    <mergeCell ref="R4:S5"/>
    <mergeCell ref="T4:V4"/>
    <mergeCell ref="W4:Y4"/>
    <mergeCell ref="Z4:AA4"/>
    <mergeCell ref="AB4:AC4"/>
    <mergeCell ref="B3:AC3"/>
    <mergeCell ref="AD3:AF3"/>
    <mergeCell ref="AG3:AH3"/>
    <mergeCell ref="AI3:AN4"/>
    <mergeCell ref="AT3:AT6"/>
    <mergeCell ref="B4:B6"/>
    <mergeCell ref="C4:C6"/>
    <mergeCell ref="D4:G4"/>
    <mergeCell ref="I4:L4"/>
    <mergeCell ref="M4:O4"/>
    <mergeCell ref="AD4:AF4"/>
    <mergeCell ref="AG4:AH4"/>
    <mergeCell ref="I5:J5"/>
    <mergeCell ref="K5:L5"/>
    <mergeCell ref="M5:N5"/>
    <mergeCell ref="AD5:AE5"/>
  </mergeCells>
  <pageMargins left="0" right="0" top="0.35433070866141736" bottom="0" header="0.31496062992125984" footer="0.31496062992125984"/>
  <pageSetup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AX68"/>
  <sheetViews>
    <sheetView showGridLines="0" zoomScale="80" zoomScaleNormal="80" zoomScaleSheetLayoutView="70" workbookViewId="0">
      <pane xSplit="3" ySplit="6" topLeftCell="Z7" activePane="bottomRight" state="frozen"/>
      <selection pane="topRight" activeCell="B41" sqref="B41:E42"/>
      <selection pane="bottomLeft" activeCell="B41" sqref="B41:E42"/>
      <selection pane="bottomRight" activeCell="B41" sqref="B41:E42"/>
    </sheetView>
  </sheetViews>
  <sheetFormatPr defaultColWidth="9.109375" defaultRowHeight="13.8" x14ac:dyDescent="0.25"/>
  <cols>
    <col min="1" max="1" width="4.5546875" style="1" customWidth="1"/>
    <col min="2" max="2" width="22.5546875" style="2" customWidth="1"/>
    <col min="3" max="3" width="10.44140625" style="2" bestFit="1" customWidth="1"/>
    <col min="4" max="5" width="10.44140625" style="2" customWidth="1"/>
    <col min="6" max="6" width="10" style="2" customWidth="1"/>
    <col min="7" max="7" width="11.88671875" style="2" customWidth="1"/>
    <col min="8" max="8" width="11.44140625" style="2" customWidth="1"/>
    <col min="9" max="9" width="15.44140625" style="1" customWidth="1"/>
    <col min="10" max="10" width="13" style="1" customWidth="1"/>
    <col min="11" max="11" width="15.44140625" style="1" customWidth="1"/>
    <col min="12" max="12" width="15" style="1" bestFit="1" customWidth="1"/>
    <col min="13" max="13" width="10.88671875" style="1" bestFit="1" customWidth="1"/>
    <col min="14" max="14" width="10.88671875" style="1" customWidth="1"/>
    <col min="15" max="19" width="11.44140625" style="1" customWidth="1"/>
    <col min="20" max="20" width="12.44140625" style="3" customWidth="1"/>
    <col min="21" max="21" width="11.109375" style="3" customWidth="1"/>
    <col min="22" max="22" width="12.44140625" style="3" bestFit="1" customWidth="1"/>
    <col min="23" max="25" width="12.44140625" style="3" customWidth="1"/>
    <col min="26" max="26" width="11.5546875" style="3" customWidth="1"/>
    <col min="27" max="27" width="11.109375" style="3" customWidth="1"/>
    <col min="28" max="28" width="11" style="3" customWidth="1"/>
    <col min="29" max="29" width="11.44140625" style="3" customWidth="1"/>
    <col min="30" max="30" width="13.5546875" style="234" customWidth="1"/>
    <col min="31" max="31" width="13.5546875" style="1" customWidth="1"/>
    <col min="32" max="32" width="11.5546875" style="2" customWidth="1"/>
    <col min="33" max="34" width="12.88671875" style="1" customWidth="1"/>
    <col min="35" max="35" width="13.44140625" style="2" customWidth="1"/>
    <col min="36" max="36" width="12.88671875" style="2" customWidth="1"/>
    <col min="37" max="37" width="14.44140625" style="2" customWidth="1"/>
    <col min="38" max="40" width="12.88671875" style="1" customWidth="1"/>
    <col min="41" max="42" width="11.44140625" style="1" customWidth="1"/>
    <col min="43" max="43" width="11.5546875" style="1" customWidth="1"/>
    <col min="44" max="44" width="11.88671875" style="1" customWidth="1"/>
    <col min="45" max="45" width="14.109375" style="1" customWidth="1"/>
    <col min="46" max="46" width="38" style="1" bestFit="1" customWidth="1"/>
    <col min="47" max="47" width="9.109375" style="1"/>
    <col min="48" max="48" width="10.88671875" style="1" bestFit="1" customWidth="1"/>
    <col min="49" max="49" width="12.88671875" style="1" bestFit="1" customWidth="1"/>
    <col min="50" max="16384" width="9.109375" style="1"/>
  </cols>
  <sheetData>
    <row r="2" spans="1:50" x14ac:dyDescent="0.25">
      <c r="B2" s="4" t="s">
        <v>0</v>
      </c>
    </row>
    <row r="3" spans="1:50" ht="31.5" customHeight="1" x14ac:dyDescent="0.25">
      <c r="B3" s="479" t="s">
        <v>1</v>
      </c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  <c r="AA3" s="480"/>
      <c r="AB3" s="480"/>
      <c r="AC3" s="481"/>
      <c r="AD3" s="490" t="s">
        <v>2</v>
      </c>
      <c r="AE3" s="491"/>
      <c r="AF3" s="492"/>
      <c r="AG3" s="485" t="s">
        <v>3</v>
      </c>
      <c r="AH3" s="486"/>
      <c r="AI3" s="465" t="s">
        <v>4</v>
      </c>
      <c r="AJ3" s="473"/>
      <c r="AK3" s="473"/>
      <c r="AL3" s="473"/>
      <c r="AM3" s="473"/>
      <c r="AN3" s="473"/>
      <c r="AO3" s="225"/>
      <c r="AP3" s="225"/>
      <c r="AQ3" s="225"/>
      <c r="AR3" s="225"/>
      <c r="AS3" s="225"/>
      <c r="AT3" s="457" t="s">
        <v>5</v>
      </c>
    </row>
    <row r="4" spans="1:50" ht="16.5" customHeight="1" x14ac:dyDescent="0.25">
      <c r="B4" s="460" t="s">
        <v>6</v>
      </c>
      <c r="C4" s="460" t="s">
        <v>7</v>
      </c>
      <c r="D4" s="461" t="s">
        <v>8</v>
      </c>
      <c r="E4" s="462"/>
      <c r="F4" s="462"/>
      <c r="G4" s="463"/>
      <c r="H4" s="54" t="s">
        <v>9</v>
      </c>
      <c r="I4" s="464"/>
      <c r="J4" s="464"/>
      <c r="K4" s="464"/>
      <c r="L4" s="464"/>
      <c r="M4" s="464" t="s">
        <v>11</v>
      </c>
      <c r="N4" s="464"/>
      <c r="O4" s="464"/>
      <c r="P4" s="465" t="s">
        <v>56</v>
      </c>
      <c r="Q4" s="466"/>
      <c r="R4" s="465" t="s">
        <v>57</v>
      </c>
      <c r="S4" s="466"/>
      <c r="T4" s="469" t="s">
        <v>13</v>
      </c>
      <c r="U4" s="470"/>
      <c r="V4" s="471"/>
      <c r="W4" s="482" t="s">
        <v>14</v>
      </c>
      <c r="X4" s="483"/>
      <c r="Y4" s="484"/>
      <c r="Z4" s="461" t="s">
        <v>15</v>
      </c>
      <c r="AA4" s="463"/>
      <c r="AB4" s="461" t="s">
        <v>16</v>
      </c>
      <c r="AC4" s="463"/>
      <c r="AD4" s="487" t="s">
        <v>17</v>
      </c>
      <c r="AE4" s="488"/>
      <c r="AF4" s="489"/>
      <c r="AG4" s="477" t="s">
        <v>17</v>
      </c>
      <c r="AH4" s="478"/>
      <c r="AI4" s="467"/>
      <c r="AJ4" s="474"/>
      <c r="AK4" s="474"/>
      <c r="AL4" s="474"/>
      <c r="AM4" s="474"/>
      <c r="AN4" s="474"/>
      <c r="AO4" s="228"/>
      <c r="AP4" s="228"/>
      <c r="AQ4" s="228"/>
      <c r="AR4" s="228"/>
      <c r="AS4" s="228"/>
      <c r="AT4" s="458"/>
    </row>
    <row r="5" spans="1:50" ht="52.5" customHeight="1" x14ac:dyDescent="0.25">
      <c r="B5" s="460"/>
      <c r="C5" s="460"/>
      <c r="D5" s="41" t="s">
        <v>18</v>
      </c>
      <c r="E5" s="41" t="s">
        <v>19</v>
      </c>
      <c r="F5" s="41" t="s">
        <v>20</v>
      </c>
      <c r="G5" s="41" t="s">
        <v>21</v>
      </c>
      <c r="H5" s="43" t="s">
        <v>22</v>
      </c>
      <c r="I5" s="477" t="s">
        <v>68</v>
      </c>
      <c r="J5" s="493"/>
      <c r="K5" s="472" t="s">
        <v>52</v>
      </c>
      <c r="L5" s="472"/>
      <c r="M5" s="460" t="s">
        <v>25</v>
      </c>
      <c r="N5" s="460"/>
      <c r="O5" s="43" t="s">
        <v>26</v>
      </c>
      <c r="P5" s="467"/>
      <c r="Q5" s="468"/>
      <c r="R5" s="467"/>
      <c r="S5" s="468"/>
      <c r="T5" s="82" t="s">
        <v>27</v>
      </c>
      <c r="U5" s="82" t="s">
        <v>24</v>
      </c>
      <c r="V5" s="82" t="s">
        <v>21</v>
      </c>
      <c r="W5" s="34" t="s">
        <v>27</v>
      </c>
      <c r="X5" s="34" t="s">
        <v>24</v>
      </c>
      <c r="Y5" s="36" t="s">
        <v>21</v>
      </c>
      <c r="Z5" s="82" t="s">
        <v>27</v>
      </c>
      <c r="AA5" s="82" t="s">
        <v>24</v>
      </c>
      <c r="AB5" s="82" t="s">
        <v>27</v>
      </c>
      <c r="AC5" s="82" t="s">
        <v>24</v>
      </c>
      <c r="AD5" s="472" t="s">
        <v>28</v>
      </c>
      <c r="AE5" s="472"/>
      <c r="AF5" s="45" t="s">
        <v>29</v>
      </c>
      <c r="AG5" s="477" t="s">
        <v>28</v>
      </c>
      <c r="AH5" s="493"/>
      <c r="AI5" s="475" t="s">
        <v>30</v>
      </c>
      <c r="AJ5" s="476"/>
      <c r="AK5" s="475" t="s">
        <v>31</v>
      </c>
      <c r="AL5" s="476"/>
      <c r="AM5" s="477" t="s">
        <v>32</v>
      </c>
      <c r="AN5" s="478"/>
      <c r="AO5" s="477" t="s">
        <v>56</v>
      </c>
      <c r="AP5" s="493"/>
      <c r="AQ5" s="477" t="s">
        <v>67</v>
      </c>
      <c r="AR5" s="493"/>
      <c r="AS5" s="226" t="s">
        <v>69</v>
      </c>
      <c r="AT5" s="458"/>
    </row>
    <row r="6" spans="1:50" ht="14.4" x14ac:dyDescent="0.3">
      <c r="B6" s="460"/>
      <c r="C6" s="460"/>
      <c r="D6" s="83">
        <v>8350</v>
      </c>
      <c r="E6" s="83">
        <v>8350</v>
      </c>
      <c r="F6" s="83">
        <v>8350</v>
      </c>
      <c r="G6" s="83">
        <f>D6+F6+E6</f>
        <v>25050</v>
      </c>
      <c r="H6" s="56" t="s">
        <v>33</v>
      </c>
      <c r="I6" s="17" t="s">
        <v>34</v>
      </c>
      <c r="J6" s="124" t="s">
        <v>53</v>
      </c>
      <c r="K6" s="17" t="s">
        <v>34</v>
      </c>
      <c r="L6" s="124" t="s">
        <v>53</v>
      </c>
      <c r="M6" s="40" t="s">
        <v>36</v>
      </c>
      <c r="N6" s="40" t="s">
        <v>37</v>
      </c>
      <c r="O6" s="41" t="s">
        <v>38</v>
      </c>
      <c r="P6" s="17" t="s">
        <v>34</v>
      </c>
      <c r="Q6" s="17" t="s">
        <v>35</v>
      </c>
      <c r="R6" s="17" t="s">
        <v>34</v>
      </c>
      <c r="S6" s="17" t="s">
        <v>35</v>
      </c>
      <c r="T6" s="82" t="s">
        <v>39</v>
      </c>
      <c r="U6" s="82" t="s">
        <v>39</v>
      </c>
      <c r="V6" s="82" t="s">
        <v>39</v>
      </c>
      <c r="W6" s="82"/>
      <c r="X6" s="82"/>
      <c r="Y6" s="82"/>
      <c r="Z6" s="41" t="s">
        <v>40</v>
      </c>
      <c r="AA6" s="41" t="s">
        <v>40</v>
      </c>
      <c r="AB6" s="41" t="s">
        <v>40</v>
      </c>
      <c r="AC6" s="41" t="s">
        <v>40</v>
      </c>
      <c r="AD6" s="235" t="s">
        <v>41</v>
      </c>
      <c r="AE6" s="78" t="s">
        <v>42</v>
      </c>
      <c r="AF6" s="9" t="s">
        <v>43</v>
      </c>
      <c r="AG6" s="17" t="s">
        <v>41</v>
      </c>
      <c r="AH6" s="78" t="s">
        <v>42</v>
      </c>
      <c r="AI6" s="9" t="s">
        <v>34</v>
      </c>
      <c r="AJ6" s="9" t="s">
        <v>44</v>
      </c>
      <c r="AK6" s="9" t="s">
        <v>34</v>
      </c>
      <c r="AL6" s="9" t="s">
        <v>44</v>
      </c>
      <c r="AM6" s="9" t="s">
        <v>34</v>
      </c>
      <c r="AN6" s="9" t="s">
        <v>44</v>
      </c>
      <c r="AO6" s="17" t="s">
        <v>34</v>
      </c>
      <c r="AP6" s="17" t="s">
        <v>35</v>
      </c>
      <c r="AQ6" s="17" t="s">
        <v>34</v>
      </c>
      <c r="AR6" s="17" t="s">
        <v>35</v>
      </c>
      <c r="AS6" s="17" t="s">
        <v>53</v>
      </c>
      <c r="AT6" s="459"/>
    </row>
    <row r="7" spans="1:50" x14ac:dyDescent="0.25">
      <c r="B7" s="8">
        <v>44986</v>
      </c>
      <c r="C7" s="42" t="str">
        <f>TEXT(B7,"ddd")</f>
        <v>Wed</v>
      </c>
      <c r="D7" s="180">
        <v>0.28927277000000001</v>
      </c>
      <c r="E7" s="180">
        <v>0.30799965000000001</v>
      </c>
      <c r="F7" s="180">
        <v>0.21609249</v>
      </c>
      <c r="G7" s="345">
        <f>SUMPRODUCT($D$6:$F$6,D7:F7)</f>
        <v>6791.5969985000002</v>
      </c>
      <c r="H7" s="272"/>
      <c r="I7" s="388">
        <v>16686</v>
      </c>
      <c r="J7" s="22">
        <f>'Mar2023'!I7-'Feb2023'!I34</f>
        <v>0</v>
      </c>
      <c r="K7" s="349">
        <v>4837484</v>
      </c>
      <c r="L7" s="22">
        <f>K7-'Feb2023'!K34</f>
        <v>10455</v>
      </c>
      <c r="M7" s="23"/>
      <c r="N7" s="23"/>
      <c r="O7" s="22"/>
      <c r="P7" s="22"/>
      <c r="Q7" s="305"/>
      <c r="R7" s="22"/>
      <c r="S7" s="21"/>
      <c r="T7" s="109">
        <v>0</v>
      </c>
      <c r="U7" s="109">
        <v>0</v>
      </c>
      <c r="V7" s="105">
        <f t="shared" ref="V7:V37" si="0">SUM(T7:U7)</f>
        <v>0</v>
      </c>
      <c r="W7" s="109"/>
      <c r="X7" s="109"/>
      <c r="Y7" s="49">
        <f>SUM(W7:X7)</f>
        <v>0</v>
      </c>
      <c r="Z7" s="44">
        <v>0</v>
      </c>
      <c r="AA7" s="44">
        <v>0</v>
      </c>
      <c r="AB7" s="44">
        <v>0</v>
      </c>
      <c r="AC7" s="106"/>
      <c r="AD7" s="242">
        <v>144.33000000000001</v>
      </c>
      <c r="AE7" s="243">
        <f>AD7</f>
        <v>144.33000000000001</v>
      </c>
      <c r="AF7" s="368"/>
      <c r="AG7" s="7"/>
      <c r="AH7" s="7">
        <f>AG7</f>
        <v>0</v>
      </c>
      <c r="AI7" s="84">
        <v>876340</v>
      </c>
      <c r="AJ7" s="76">
        <f>AI7-'Feb2023'!AI34</f>
        <v>2187</v>
      </c>
      <c r="AK7" s="84">
        <v>106287</v>
      </c>
      <c r="AL7" s="76">
        <f>AK7-105899</f>
        <v>388</v>
      </c>
      <c r="AM7" s="76">
        <v>13890</v>
      </c>
      <c r="AN7" s="76">
        <f>AM7-'Feb2023'!AM34</f>
        <v>19</v>
      </c>
      <c r="AO7" s="76">
        <v>103466</v>
      </c>
      <c r="AP7" s="227">
        <f>AO7-'Feb2023'!AO34</f>
        <v>0</v>
      </c>
      <c r="AQ7" s="76">
        <v>142915</v>
      </c>
      <c r="AR7" s="227">
        <f>AQ7-'Feb2023'!AQ34</f>
        <v>0</v>
      </c>
      <c r="AS7" s="49"/>
      <c r="AT7" s="17"/>
      <c r="AV7" s="79"/>
      <c r="AW7" s="74"/>
      <c r="AX7" s="74"/>
    </row>
    <row r="8" spans="1:50" x14ac:dyDescent="0.25">
      <c r="B8" s="8">
        <f>B7+1</f>
        <v>44987</v>
      </c>
      <c r="C8" s="42" t="str">
        <f t="shared" ref="C8:C37" si="1">TEXT(B8,"ddd")</f>
        <v>Thu</v>
      </c>
      <c r="D8" s="180">
        <v>0.73951889000000004</v>
      </c>
      <c r="E8" s="377">
        <v>0.47487868999999999</v>
      </c>
      <c r="F8" s="377">
        <v>0.49160548999999998</v>
      </c>
      <c r="G8" s="345">
        <f>SUMPRODUCT($D$6:$F$6,D8:F8)</f>
        <v>14245.1256345</v>
      </c>
      <c r="H8" s="272"/>
      <c r="I8" s="363">
        <v>16975</v>
      </c>
      <c r="J8" s="344">
        <f>I8-I7</f>
        <v>289</v>
      </c>
      <c r="K8" s="350">
        <v>4853328</v>
      </c>
      <c r="L8" s="348">
        <f>K8-K7</f>
        <v>15844</v>
      </c>
      <c r="M8" s="26"/>
      <c r="N8" s="26"/>
      <c r="O8" s="22"/>
      <c r="P8" s="22"/>
      <c r="Q8" s="21"/>
      <c r="R8" s="22"/>
      <c r="S8" s="21"/>
      <c r="T8" s="109">
        <v>0</v>
      </c>
      <c r="U8" s="109">
        <v>0</v>
      </c>
      <c r="V8" s="105">
        <f t="shared" si="0"/>
        <v>0</v>
      </c>
      <c r="W8" s="109"/>
      <c r="X8" s="109"/>
      <c r="Y8" s="49">
        <f t="shared" ref="Y8:Y37" si="2">SUM(W8:X8)</f>
        <v>0</v>
      </c>
      <c r="Z8" s="44">
        <v>0</v>
      </c>
      <c r="AA8" s="44">
        <v>0</v>
      </c>
      <c r="AB8" s="44">
        <v>0</v>
      </c>
      <c r="AC8" s="106"/>
      <c r="AD8" s="244">
        <v>155.93</v>
      </c>
      <c r="AE8" s="243">
        <f>AD8+AE7</f>
        <v>300.26</v>
      </c>
      <c r="AF8" s="369"/>
      <c r="AG8" s="7"/>
      <c r="AH8" s="7">
        <f>AG8+AH7</f>
        <v>0</v>
      </c>
      <c r="AI8" s="84">
        <v>878980</v>
      </c>
      <c r="AJ8" s="76">
        <f>AI8-AI7</f>
        <v>2640</v>
      </c>
      <c r="AK8" s="84">
        <v>106708</v>
      </c>
      <c r="AL8" s="76">
        <f t="shared" ref="AL8:AL37" si="3">AK8-AK7</f>
        <v>421</v>
      </c>
      <c r="AM8" s="76">
        <v>13943</v>
      </c>
      <c r="AN8" s="76">
        <f>AM8-AM7</f>
        <v>53</v>
      </c>
      <c r="AO8" s="76">
        <v>103466</v>
      </c>
      <c r="AP8" s="227">
        <f>AO8-AO7</f>
        <v>0</v>
      </c>
      <c r="AQ8" s="76">
        <v>142915</v>
      </c>
      <c r="AR8" s="227">
        <f>AQ8-AQ7</f>
        <v>0</v>
      </c>
      <c r="AS8" s="49">
        <f t="shared" ref="AS8:AS34" si="4">AP8+AR8</f>
        <v>0</v>
      </c>
      <c r="AT8" s="17"/>
      <c r="AV8" s="79"/>
      <c r="AW8" s="74"/>
      <c r="AX8" s="74"/>
    </row>
    <row r="9" spans="1:50" x14ac:dyDescent="0.25">
      <c r="B9" s="8">
        <f>B8+1</f>
        <v>44988</v>
      </c>
      <c r="C9" s="42" t="str">
        <f t="shared" si="1"/>
        <v>Fri</v>
      </c>
      <c r="D9" s="180">
        <v>0.65146300999999995</v>
      </c>
      <c r="E9" s="180">
        <v>0.61810089000000001</v>
      </c>
      <c r="F9" s="180">
        <v>0.80592452999999997</v>
      </c>
      <c r="G9" s="345">
        <f>SUMPRODUCT($D$6:$F$6,D9:F9)</f>
        <v>17330.328390499999</v>
      </c>
      <c r="H9" s="383"/>
      <c r="I9" s="384">
        <v>16975</v>
      </c>
      <c r="J9" s="344">
        <f t="shared" ref="J9:J37" si="5">I9-I8</f>
        <v>0</v>
      </c>
      <c r="K9" s="350">
        <v>4871936</v>
      </c>
      <c r="L9" s="348">
        <f>K9-K8</f>
        <v>18608</v>
      </c>
      <c r="M9" s="26"/>
      <c r="N9" s="26"/>
      <c r="O9" s="22"/>
      <c r="P9" s="22"/>
      <c r="Q9" s="21"/>
      <c r="R9" s="22"/>
      <c r="S9" s="21"/>
      <c r="T9" s="109">
        <v>0</v>
      </c>
      <c r="U9" s="109">
        <v>0</v>
      </c>
      <c r="V9" s="105">
        <f t="shared" si="0"/>
        <v>0</v>
      </c>
      <c r="W9" s="109"/>
      <c r="X9" s="109"/>
      <c r="Y9" s="49">
        <f t="shared" si="2"/>
        <v>0</v>
      </c>
      <c r="Z9" s="44">
        <v>0</v>
      </c>
      <c r="AA9" s="44">
        <v>0</v>
      </c>
      <c r="AB9" s="44">
        <v>0</v>
      </c>
      <c r="AC9" s="106"/>
      <c r="AD9" s="244">
        <v>151.72999999999999</v>
      </c>
      <c r="AE9" s="243">
        <f>AD9+AE8</f>
        <v>451.99</v>
      </c>
      <c r="AF9" s="369"/>
      <c r="AG9" s="102"/>
      <c r="AH9" s="7">
        <f t="shared" ref="AH9:AH34" si="6">AG9+AH8</f>
        <v>0</v>
      </c>
      <c r="AI9" s="84">
        <v>884727</v>
      </c>
      <c r="AJ9" s="76">
        <f t="shared" ref="AJ9:AJ37" si="7">AI9-AI8</f>
        <v>5747</v>
      </c>
      <c r="AK9" s="84">
        <v>107177</v>
      </c>
      <c r="AL9" s="76">
        <f>AK9-AK8</f>
        <v>469</v>
      </c>
      <c r="AM9" s="76">
        <v>14009</v>
      </c>
      <c r="AN9" s="76">
        <f t="shared" ref="AN9:AN37" si="8">AM9-AM8</f>
        <v>66</v>
      </c>
      <c r="AO9" s="76">
        <v>103466</v>
      </c>
      <c r="AP9" s="227">
        <f>AO9-AO8</f>
        <v>0</v>
      </c>
      <c r="AQ9" s="76">
        <v>142915</v>
      </c>
      <c r="AR9" s="227">
        <f t="shared" ref="AR9:AR34" si="9">AQ9-AQ8</f>
        <v>0</v>
      </c>
      <c r="AS9" s="49">
        <f t="shared" si="4"/>
        <v>0</v>
      </c>
      <c r="AT9" s="17"/>
      <c r="AV9" s="79"/>
      <c r="AW9" s="74"/>
      <c r="AX9" s="74"/>
    </row>
    <row r="10" spans="1:50" x14ac:dyDescent="0.25">
      <c r="A10" s="1" t="s">
        <v>100</v>
      </c>
      <c r="B10" s="8">
        <f t="shared" ref="B10:B37" si="10">B9+1</f>
        <v>44989</v>
      </c>
      <c r="C10" s="42" t="str">
        <f t="shared" si="1"/>
        <v>Sat</v>
      </c>
      <c r="D10" s="180">
        <v>0.82043456999999997</v>
      </c>
      <c r="E10" s="180">
        <v>0.68587898000000003</v>
      </c>
      <c r="F10" s="180">
        <v>0.77749550000000001</v>
      </c>
      <c r="G10" s="382">
        <f t="shared" ref="G10:G37" si="11">SUMPRODUCT($D$6:$F$6,D10:F10)</f>
        <v>19069.8055675</v>
      </c>
      <c r="H10" s="381"/>
      <c r="I10" s="387">
        <v>16975</v>
      </c>
      <c r="J10" s="344">
        <f t="shared" si="5"/>
        <v>0</v>
      </c>
      <c r="K10" s="350">
        <v>4893596</v>
      </c>
      <c r="L10" s="348">
        <f t="shared" ref="L10:L37" si="12">K10-K9</f>
        <v>21660</v>
      </c>
      <c r="M10" s="26"/>
      <c r="N10" s="26"/>
      <c r="O10" s="22"/>
      <c r="P10" s="22"/>
      <c r="Q10" s="21"/>
      <c r="R10" s="22"/>
      <c r="S10" s="21"/>
      <c r="T10" s="109">
        <v>0</v>
      </c>
      <c r="U10" s="109">
        <v>0</v>
      </c>
      <c r="V10" s="105">
        <f t="shared" si="0"/>
        <v>0</v>
      </c>
      <c r="W10" s="109"/>
      <c r="X10" s="109"/>
      <c r="Y10" s="49">
        <f t="shared" si="2"/>
        <v>0</v>
      </c>
      <c r="Z10" s="44">
        <v>0</v>
      </c>
      <c r="AA10" s="44">
        <v>0</v>
      </c>
      <c r="AB10" s="44">
        <v>0</v>
      </c>
      <c r="AC10" s="106"/>
      <c r="AD10" s="244">
        <v>128.47</v>
      </c>
      <c r="AE10" s="243">
        <f>AD10+AE9</f>
        <v>580.46</v>
      </c>
      <c r="AF10" s="369"/>
      <c r="AG10" s="102"/>
      <c r="AH10" s="7">
        <f t="shared" si="6"/>
        <v>0</v>
      </c>
      <c r="AI10" s="84">
        <v>884727</v>
      </c>
      <c r="AJ10" s="76">
        <f t="shared" si="7"/>
        <v>0</v>
      </c>
      <c r="AK10" s="84">
        <v>107177</v>
      </c>
      <c r="AL10" s="76">
        <f>AK10-AK9</f>
        <v>0</v>
      </c>
      <c r="AM10" s="76">
        <v>14009</v>
      </c>
      <c r="AN10" s="76">
        <f t="shared" si="8"/>
        <v>0</v>
      </c>
      <c r="AO10" s="76">
        <v>103466</v>
      </c>
      <c r="AP10" s="227">
        <f t="shared" ref="AP10:AP34" si="13">AO10-AO9</f>
        <v>0</v>
      </c>
      <c r="AQ10" s="76">
        <v>142915</v>
      </c>
      <c r="AR10" s="227">
        <f t="shared" si="9"/>
        <v>0</v>
      </c>
      <c r="AS10" s="49">
        <f t="shared" si="4"/>
        <v>0</v>
      </c>
      <c r="AT10" s="17"/>
      <c r="AV10" s="79"/>
      <c r="AW10" s="74"/>
      <c r="AX10" s="74"/>
    </row>
    <row r="11" spans="1:50" ht="14.25" customHeight="1" x14ac:dyDescent="0.25">
      <c r="B11" s="8">
        <f t="shared" si="10"/>
        <v>44990</v>
      </c>
      <c r="C11" s="42" t="str">
        <f t="shared" si="1"/>
        <v>Sun</v>
      </c>
      <c r="D11" s="180">
        <v>0.66494293000000004</v>
      </c>
      <c r="E11" s="180">
        <v>0.66469780000000001</v>
      </c>
      <c r="F11" s="180">
        <v>0.65501540999999996</v>
      </c>
      <c r="G11" s="345">
        <f t="shared" si="11"/>
        <v>16571.878768999999</v>
      </c>
      <c r="H11" s="385"/>
      <c r="I11" s="386">
        <v>17118</v>
      </c>
      <c r="J11" s="344">
        <f t="shared" si="5"/>
        <v>143</v>
      </c>
      <c r="K11" s="350">
        <v>4907551</v>
      </c>
      <c r="L11" s="348">
        <f t="shared" si="12"/>
        <v>13955</v>
      </c>
      <c r="M11" s="26"/>
      <c r="N11" s="26"/>
      <c r="O11" s="22"/>
      <c r="P11" s="22"/>
      <c r="Q11" s="21"/>
      <c r="R11" s="22"/>
      <c r="S11" s="21"/>
      <c r="T11" s="109">
        <v>0</v>
      </c>
      <c r="U11" s="109">
        <v>0</v>
      </c>
      <c r="V11" s="105">
        <f t="shared" si="0"/>
        <v>0</v>
      </c>
      <c r="W11" s="109"/>
      <c r="X11" s="109"/>
      <c r="Y11" s="49">
        <f t="shared" si="2"/>
        <v>0</v>
      </c>
      <c r="Z11" s="44">
        <v>0</v>
      </c>
      <c r="AA11" s="44">
        <v>0</v>
      </c>
      <c r="AB11" s="44">
        <v>0</v>
      </c>
      <c r="AC11" s="106"/>
      <c r="AD11" s="245">
        <v>0</v>
      </c>
      <c r="AE11" s="243">
        <f t="shared" ref="AE11:AE37" si="14">AD11+AE10</f>
        <v>580.46</v>
      </c>
      <c r="AF11" s="369"/>
      <c r="AG11" s="102"/>
      <c r="AH11" s="7">
        <f t="shared" si="6"/>
        <v>0</v>
      </c>
      <c r="AI11" s="84">
        <v>887491</v>
      </c>
      <c r="AJ11" s="76">
        <f t="shared" si="7"/>
        <v>2764</v>
      </c>
      <c r="AK11" s="84">
        <v>107177</v>
      </c>
      <c r="AL11" s="76">
        <f t="shared" si="3"/>
        <v>0</v>
      </c>
      <c r="AM11" s="76">
        <v>14009</v>
      </c>
      <c r="AN11" s="76">
        <f t="shared" si="8"/>
        <v>0</v>
      </c>
      <c r="AO11" s="76">
        <v>103466</v>
      </c>
      <c r="AP11" s="227">
        <f t="shared" si="13"/>
        <v>0</v>
      </c>
      <c r="AQ11" s="76">
        <v>142915</v>
      </c>
      <c r="AR11" s="227">
        <f t="shared" si="9"/>
        <v>0</v>
      </c>
      <c r="AS11" s="49">
        <f t="shared" si="4"/>
        <v>0</v>
      </c>
      <c r="AT11" s="17"/>
      <c r="AV11" s="79"/>
      <c r="AW11" s="74"/>
      <c r="AX11" s="74"/>
    </row>
    <row r="12" spans="1:50" x14ac:dyDescent="0.25">
      <c r="B12" s="8">
        <f t="shared" si="10"/>
        <v>44991</v>
      </c>
      <c r="C12" s="42" t="str">
        <f t="shared" si="1"/>
        <v>Mon</v>
      </c>
      <c r="D12" s="180">
        <v>0.83100127999999995</v>
      </c>
      <c r="E12" s="180">
        <v>1</v>
      </c>
      <c r="F12" s="180">
        <v>0.89676529999999999</v>
      </c>
      <c r="G12" s="345">
        <f t="shared" si="11"/>
        <v>22776.850943000001</v>
      </c>
      <c r="H12" s="274"/>
      <c r="I12" s="363">
        <v>17562</v>
      </c>
      <c r="J12" s="344">
        <f t="shared" si="5"/>
        <v>444</v>
      </c>
      <c r="K12" s="351">
        <v>4929914</v>
      </c>
      <c r="L12" s="348">
        <f t="shared" si="12"/>
        <v>22363</v>
      </c>
      <c r="M12" s="26"/>
      <c r="N12" s="26"/>
      <c r="O12" s="22"/>
      <c r="P12" s="22"/>
      <c r="Q12" s="21"/>
      <c r="R12" s="22"/>
      <c r="S12" s="21"/>
      <c r="T12" s="109">
        <v>0</v>
      </c>
      <c r="U12" s="109">
        <v>0</v>
      </c>
      <c r="V12" s="105">
        <f t="shared" si="0"/>
        <v>0</v>
      </c>
      <c r="W12" s="109"/>
      <c r="X12" s="109"/>
      <c r="Y12" s="49">
        <f t="shared" si="2"/>
        <v>0</v>
      </c>
      <c r="Z12" s="44">
        <v>0</v>
      </c>
      <c r="AA12" s="44">
        <v>0</v>
      </c>
      <c r="AB12" s="44">
        <v>0</v>
      </c>
      <c r="AC12" s="106"/>
      <c r="AD12" s="245">
        <v>173.6</v>
      </c>
      <c r="AE12" s="243">
        <f t="shared" si="14"/>
        <v>754.06000000000006</v>
      </c>
      <c r="AF12" s="368"/>
      <c r="AG12" s="102"/>
      <c r="AH12" s="7">
        <f t="shared" si="6"/>
        <v>0</v>
      </c>
      <c r="AI12" s="84">
        <v>890507</v>
      </c>
      <c r="AJ12" s="76">
        <f t="shared" si="7"/>
        <v>3016</v>
      </c>
      <c r="AK12" s="84">
        <v>108030</v>
      </c>
      <c r="AL12" s="76">
        <f t="shared" si="3"/>
        <v>853</v>
      </c>
      <c r="AM12" s="76">
        <v>14136</v>
      </c>
      <c r="AN12" s="76">
        <f t="shared" si="8"/>
        <v>127</v>
      </c>
      <c r="AO12" s="76">
        <v>103466</v>
      </c>
      <c r="AP12" s="227">
        <f t="shared" si="13"/>
        <v>0</v>
      </c>
      <c r="AQ12" s="76">
        <v>142915</v>
      </c>
      <c r="AR12" s="227">
        <f t="shared" si="9"/>
        <v>0</v>
      </c>
      <c r="AS12" s="49">
        <f t="shared" si="4"/>
        <v>0</v>
      </c>
      <c r="AT12" s="17"/>
      <c r="AV12" s="79"/>
      <c r="AW12" s="74"/>
      <c r="AX12" s="74"/>
    </row>
    <row r="13" spans="1:50" x14ac:dyDescent="0.25">
      <c r="B13" s="8">
        <f t="shared" si="10"/>
        <v>44992</v>
      </c>
      <c r="C13" s="42" t="str">
        <f t="shared" si="1"/>
        <v>Tue</v>
      </c>
      <c r="D13" s="180">
        <v>0.37617546000000002</v>
      </c>
      <c r="E13" s="180">
        <v>0.32965857999999998</v>
      </c>
      <c r="F13" s="180">
        <v>0.27148234999999998</v>
      </c>
      <c r="G13" s="345">
        <f t="shared" si="11"/>
        <v>8160.5918564999993</v>
      </c>
      <c r="H13" s="274"/>
      <c r="I13" s="363">
        <v>18071</v>
      </c>
      <c r="J13" s="344">
        <f t="shared" si="5"/>
        <v>509</v>
      </c>
      <c r="K13" s="351">
        <v>4940325</v>
      </c>
      <c r="L13" s="348">
        <f t="shared" si="12"/>
        <v>10411</v>
      </c>
      <c r="M13" s="26"/>
      <c r="N13" s="26"/>
      <c r="O13" s="22"/>
      <c r="P13" s="22"/>
      <c r="Q13" s="21"/>
      <c r="R13" s="22"/>
      <c r="S13" s="21"/>
      <c r="T13" s="109">
        <v>0</v>
      </c>
      <c r="U13" s="109">
        <v>0</v>
      </c>
      <c r="V13" s="105">
        <f t="shared" si="0"/>
        <v>0</v>
      </c>
      <c r="W13" s="109"/>
      <c r="X13" s="109"/>
      <c r="Y13" s="49">
        <f t="shared" si="2"/>
        <v>0</v>
      </c>
      <c r="Z13" s="44">
        <v>0</v>
      </c>
      <c r="AA13" s="44">
        <v>0</v>
      </c>
      <c r="AB13" s="44">
        <v>0</v>
      </c>
      <c r="AC13" s="106"/>
      <c r="AD13" s="245">
        <v>175.04</v>
      </c>
      <c r="AE13" s="243">
        <f t="shared" si="14"/>
        <v>929.1</v>
      </c>
      <c r="AF13" s="370"/>
      <c r="AG13" s="7"/>
      <c r="AH13" s="7">
        <f t="shared" si="6"/>
        <v>0</v>
      </c>
      <c r="AI13" s="84">
        <v>893754</v>
      </c>
      <c r="AJ13" s="76">
        <f t="shared" si="7"/>
        <v>3247</v>
      </c>
      <c r="AK13" s="84">
        <v>108494</v>
      </c>
      <c r="AL13" s="76">
        <f t="shared" si="3"/>
        <v>464</v>
      </c>
      <c r="AM13" s="76">
        <v>14165</v>
      </c>
      <c r="AN13" s="76">
        <f t="shared" si="8"/>
        <v>29</v>
      </c>
      <c r="AO13" s="76">
        <v>103466</v>
      </c>
      <c r="AP13" s="227">
        <f t="shared" si="13"/>
        <v>0</v>
      </c>
      <c r="AQ13" s="76">
        <v>142915</v>
      </c>
      <c r="AR13" s="227">
        <f t="shared" si="9"/>
        <v>0</v>
      </c>
      <c r="AS13" s="49">
        <f t="shared" si="4"/>
        <v>0</v>
      </c>
      <c r="AT13" s="17"/>
      <c r="AV13" s="79"/>
      <c r="AW13" s="74"/>
      <c r="AX13" s="74"/>
    </row>
    <row r="14" spans="1:50" x14ac:dyDescent="0.25">
      <c r="B14" s="8">
        <f t="shared" si="10"/>
        <v>44993</v>
      </c>
      <c r="C14" s="42" t="str">
        <f t="shared" si="1"/>
        <v>Wed</v>
      </c>
      <c r="D14" s="180">
        <v>0.52492813000000005</v>
      </c>
      <c r="E14" s="180">
        <v>0.57043060000000001</v>
      </c>
      <c r="F14" s="180">
        <v>0.55340931000000004</v>
      </c>
      <c r="G14" s="345">
        <f t="shared" si="11"/>
        <v>13767.213134000001</v>
      </c>
      <c r="H14" s="274"/>
      <c r="I14" s="363">
        <v>18377</v>
      </c>
      <c r="J14" s="344">
        <f t="shared" si="5"/>
        <v>306</v>
      </c>
      <c r="K14" s="351">
        <v>4958378</v>
      </c>
      <c r="L14" s="348">
        <f t="shared" si="12"/>
        <v>18053</v>
      </c>
      <c r="M14" s="26"/>
      <c r="N14" s="26"/>
      <c r="O14" s="22"/>
      <c r="P14" s="22"/>
      <c r="Q14" s="21"/>
      <c r="R14" s="22"/>
      <c r="S14" s="21"/>
      <c r="T14" s="109">
        <v>0</v>
      </c>
      <c r="U14" s="109">
        <v>0</v>
      </c>
      <c r="V14" s="105">
        <f t="shared" si="0"/>
        <v>0</v>
      </c>
      <c r="W14" s="109"/>
      <c r="X14" s="109"/>
      <c r="Y14" s="49">
        <f t="shared" si="2"/>
        <v>0</v>
      </c>
      <c r="Z14" s="44">
        <v>0</v>
      </c>
      <c r="AA14" s="44">
        <v>0</v>
      </c>
      <c r="AB14" s="44">
        <v>0</v>
      </c>
      <c r="AC14" s="106"/>
      <c r="AD14" s="245">
        <v>145.96</v>
      </c>
      <c r="AE14" s="243">
        <f t="shared" si="14"/>
        <v>1075.06</v>
      </c>
      <c r="AF14" s="371"/>
      <c r="AG14" s="7"/>
      <c r="AH14" s="7">
        <f t="shared" si="6"/>
        <v>0</v>
      </c>
      <c r="AI14" s="84">
        <v>896526</v>
      </c>
      <c r="AJ14" s="76">
        <f t="shared" si="7"/>
        <v>2772</v>
      </c>
      <c r="AK14" s="84">
        <v>108854</v>
      </c>
      <c r="AL14" s="76">
        <f t="shared" si="3"/>
        <v>360</v>
      </c>
      <c r="AM14" s="76">
        <v>14199</v>
      </c>
      <c r="AN14" s="76">
        <f t="shared" si="8"/>
        <v>34</v>
      </c>
      <c r="AO14" s="76">
        <v>103466</v>
      </c>
      <c r="AP14" s="227">
        <f t="shared" si="13"/>
        <v>0</v>
      </c>
      <c r="AQ14" s="76">
        <v>142915</v>
      </c>
      <c r="AR14" s="227">
        <f t="shared" si="9"/>
        <v>0</v>
      </c>
      <c r="AS14" s="49">
        <f t="shared" si="4"/>
        <v>0</v>
      </c>
      <c r="AT14" s="17"/>
      <c r="AV14" s="79"/>
      <c r="AW14" s="74"/>
      <c r="AX14" s="74"/>
    </row>
    <row r="15" spans="1:50" x14ac:dyDescent="0.25">
      <c r="B15" s="8">
        <f t="shared" si="10"/>
        <v>44994</v>
      </c>
      <c r="C15" s="42" t="str">
        <f t="shared" si="1"/>
        <v>Thu</v>
      </c>
      <c r="D15" s="180">
        <v>0.46597954000000003</v>
      </c>
      <c r="E15" s="180">
        <v>0.61316437000000001</v>
      </c>
      <c r="F15" s="180">
        <v>0.57949702999999997</v>
      </c>
      <c r="G15" s="345">
        <f t="shared" si="11"/>
        <v>13849.651849</v>
      </c>
      <c r="H15" s="276"/>
      <c r="I15" s="363">
        <v>18650</v>
      </c>
      <c r="J15" s="344">
        <f t="shared" si="5"/>
        <v>273</v>
      </c>
      <c r="K15" s="351">
        <v>4973806</v>
      </c>
      <c r="L15" s="348">
        <f t="shared" si="12"/>
        <v>15428</v>
      </c>
      <c r="M15" s="25"/>
      <c r="N15" s="25"/>
      <c r="O15" s="22"/>
      <c r="P15" s="22"/>
      <c r="Q15" s="21"/>
      <c r="R15" s="22"/>
      <c r="S15" s="21"/>
      <c r="T15" s="109">
        <v>0</v>
      </c>
      <c r="U15" s="109">
        <v>0</v>
      </c>
      <c r="V15" s="105">
        <f t="shared" si="0"/>
        <v>0</v>
      </c>
      <c r="W15" s="109"/>
      <c r="X15" s="109"/>
      <c r="Y15" s="49">
        <f t="shared" si="2"/>
        <v>0</v>
      </c>
      <c r="Z15" s="44">
        <v>0</v>
      </c>
      <c r="AA15" s="44">
        <v>0</v>
      </c>
      <c r="AB15" s="44">
        <v>0</v>
      </c>
      <c r="AC15" s="106"/>
      <c r="AD15" s="245">
        <v>152.01</v>
      </c>
      <c r="AE15" s="243">
        <f t="shared" si="14"/>
        <v>1227.07</v>
      </c>
      <c r="AF15" s="371"/>
      <c r="AG15" s="7"/>
      <c r="AH15" s="7">
        <f t="shared" si="6"/>
        <v>0</v>
      </c>
      <c r="AI15" s="84">
        <v>899542</v>
      </c>
      <c r="AJ15" s="76">
        <f t="shared" si="7"/>
        <v>3016</v>
      </c>
      <c r="AK15" s="84">
        <v>109303</v>
      </c>
      <c r="AL15" s="76">
        <f t="shared" si="3"/>
        <v>449</v>
      </c>
      <c r="AM15" s="76">
        <v>14232</v>
      </c>
      <c r="AN15" s="76">
        <f t="shared" si="8"/>
        <v>33</v>
      </c>
      <c r="AO15" s="76">
        <v>103466</v>
      </c>
      <c r="AP15" s="227">
        <f t="shared" si="13"/>
        <v>0</v>
      </c>
      <c r="AQ15" s="76">
        <v>142915</v>
      </c>
      <c r="AR15" s="227">
        <f t="shared" si="9"/>
        <v>0</v>
      </c>
      <c r="AS15" s="49">
        <f t="shared" si="4"/>
        <v>0</v>
      </c>
      <c r="AT15" s="17"/>
      <c r="AV15" s="79"/>
      <c r="AW15" s="74"/>
      <c r="AX15" s="74"/>
    </row>
    <row r="16" spans="1:50" x14ac:dyDescent="0.25">
      <c r="B16" s="8">
        <f t="shared" si="10"/>
        <v>44995</v>
      </c>
      <c r="C16" s="42" t="str">
        <f t="shared" si="1"/>
        <v>Fri</v>
      </c>
      <c r="D16" s="180">
        <v>0.67231964</v>
      </c>
      <c r="E16" s="180">
        <v>0.71085670000000001</v>
      </c>
      <c r="F16" s="180">
        <v>0.79459473000000003</v>
      </c>
      <c r="G16" s="345">
        <f t="shared" si="11"/>
        <v>18184.388434500001</v>
      </c>
      <c r="H16" s="276"/>
      <c r="I16" s="363">
        <v>18814</v>
      </c>
      <c r="J16" s="344">
        <f t="shared" si="5"/>
        <v>164</v>
      </c>
      <c r="K16" s="352">
        <v>4993471</v>
      </c>
      <c r="L16" s="348">
        <f t="shared" si="12"/>
        <v>19665</v>
      </c>
      <c r="M16" s="23"/>
      <c r="N16" s="23"/>
      <c r="O16" s="22"/>
      <c r="P16" s="22"/>
      <c r="Q16" s="21"/>
      <c r="R16" s="22"/>
      <c r="S16" s="21"/>
      <c r="T16" s="109">
        <v>0</v>
      </c>
      <c r="U16" s="109">
        <v>0</v>
      </c>
      <c r="V16" s="105">
        <f t="shared" si="0"/>
        <v>0</v>
      </c>
      <c r="W16" s="109"/>
      <c r="X16" s="109"/>
      <c r="Y16" s="49">
        <f t="shared" si="2"/>
        <v>0</v>
      </c>
      <c r="Z16" s="44">
        <v>0</v>
      </c>
      <c r="AA16" s="44">
        <v>0</v>
      </c>
      <c r="AB16" s="44">
        <v>0</v>
      </c>
      <c r="AC16" s="106"/>
      <c r="AD16" s="244">
        <v>152.03</v>
      </c>
      <c r="AE16" s="243">
        <f t="shared" si="14"/>
        <v>1379.1</v>
      </c>
      <c r="AF16" s="371"/>
      <c r="AG16" s="7"/>
      <c r="AH16" s="7">
        <f t="shared" si="6"/>
        <v>0</v>
      </c>
      <c r="AI16" s="84">
        <v>899542</v>
      </c>
      <c r="AJ16" s="76">
        <f t="shared" si="7"/>
        <v>0</v>
      </c>
      <c r="AK16" s="84">
        <v>109660</v>
      </c>
      <c r="AL16" s="76">
        <f t="shared" si="3"/>
        <v>357</v>
      </c>
      <c r="AM16" s="76">
        <v>14266</v>
      </c>
      <c r="AN16" s="76">
        <f t="shared" si="8"/>
        <v>34</v>
      </c>
      <c r="AO16" s="76">
        <v>103466</v>
      </c>
      <c r="AP16" s="227">
        <f t="shared" si="13"/>
        <v>0</v>
      </c>
      <c r="AQ16" s="76">
        <v>142915</v>
      </c>
      <c r="AR16" s="227">
        <f t="shared" si="9"/>
        <v>0</v>
      </c>
      <c r="AS16" s="49">
        <f t="shared" si="4"/>
        <v>0</v>
      </c>
      <c r="AT16" s="17"/>
      <c r="AV16" s="79"/>
      <c r="AW16" s="74"/>
      <c r="AX16" s="74"/>
    </row>
    <row r="17" spans="2:50" x14ac:dyDescent="0.25">
      <c r="B17" s="8">
        <f t="shared" si="10"/>
        <v>44996</v>
      </c>
      <c r="C17" s="42" t="str">
        <f t="shared" si="1"/>
        <v>Sat</v>
      </c>
      <c r="D17" s="180">
        <v>0.77589249000000005</v>
      </c>
      <c r="E17" s="180">
        <v>0.63039436000000004</v>
      </c>
      <c r="F17" s="180">
        <v>0.71820236000000004</v>
      </c>
      <c r="G17" s="345">
        <f t="shared" si="11"/>
        <v>17739.484903500001</v>
      </c>
      <c r="H17" s="275"/>
      <c r="I17" s="363">
        <v>19610</v>
      </c>
      <c r="J17" s="344">
        <f t="shared" si="5"/>
        <v>796</v>
      </c>
      <c r="K17" s="352">
        <v>5026582</v>
      </c>
      <c r="L17" s="348">
        <f t="shared" si="12"/>
        <v>33111</v>
      </c>
      <c r="M17" s="26"/>
      <c r="N17" s="26"/>
      <c r="O17" s="22"/>
      <c r="P17" s="22"/>
      <c r="Q17" s="21"/>
      <c r="R17" s="22"/>
      <c r="S17" s="21"/>
      <c r="T17" s="109">
        <v>0</v>
      </c>
      <c r="U17" s="109">
        <v>0</v>
      </c>
      <c r="V17" s="105">
        <f t="shared" si="0"/>
        <v>0</v>
      </c>
      <c r="W17" s="109"/>
      <c r="X17" s="109"/>
      <c r="Y17" s="49">
        <f t="shared" si="2"/>
        <v>0</v>
      </c>
      <c r="Z17" s="44">
        <v>0</v>
      </c>
      <c r="AA17" s="44">
        <v>0</v>
      </c>
      <c r="AB17" s="44">
        <v>0</v>
      </c>
      <c r="AC17" s="106"/>
      <c r="AD17" s="244">
        <v>153.94999999999999</v>
      </c>
      <c r="AE17" s="243">
        <f t="shared" si="14"/>
        <v>1533.05</v>
      </c>
      <c r="AF17" s="243"/>
      <c r="AG17" s="7"/>
      <c r="AH17" s="7">
        <f t="shared" si="6"/>
        <v>0</v>
      </c>
      <c r="AI17" s="84">
        <v>899542</v>
      </c>
      <c r="AJ17" s="76">
        <f t="shared" si="7"/>
        <v>0</v>
      </c>
      <c r="AK17" s="84">
        <v>109660</v>
      </c>
      <c r="AL17" s="76">
        <f t="shared" si="3"/>
        <v>0</v>
      </c>
      <c r="AM17" s="76">
        <v>14266</v>
      </c>
      <c r="AN17" s="76">
        <f t="shared" si="8"/>
        <v>0</v>
      </c>
      <c r="AO17" s="76">
        <v>103466</v>
      </c>
      <c r="AP17" s="227">
        <f t="shared" si="13"/>
        <v>0</v>
      </c>
      <c r="AQ17" s="76">
        <v>142915</v>
      </c>
      <c r="AR17" s="227">
        <f t="shared" si="9"/>
        <v>0</v>
      </c>
      <c r="AS17" s="49">
        <f t="shared" si="4"/>
        <v>0</v>
      </c>
      <c r="AT17" s="17"/>
      <c r="AV17" s="79"/>
      <c r="AW17" s="74"/>
      <c r="AX17" s="74"/>
    </row>
    <row r="18" spans="2:50" x14ac:dyDescent="0.25">
      <c r="B18" s="8">
        <f t="shared" si="10"/>
        <v>44997</v>
      </c>
      <c r="C18" s="42" t="str">
        <f t="shared" si="1"/>
        <v>Sun</v>
      </c>
      <c r="D18" s="180">
        <v>0.84343857</v>
      </c>
      <c r="E18" s="180">
        <v>0.81357780000000002</v>
      </c>
      <c r="F18" s="180">
        <v>0.68134322999999997</v>
      </c>
      <c r="G18" s="345">
        <f t="shared" si="11"/>
        <v>19525.302660000001</v>
      </c>
      <c r="H18" s="275"/>
      <c r="I18" s="363">
        <v>19694</v>
      </c>
      <c r="J18" s="344">
        <f t="shared" si="5"/>
        <v>84</v>
      </c>
      <c r="K18" s="352">
        <v>5036083</v>
      </c>
      <c r="L18" s="348">
        <f t="shared" si="12"/>
        <v>9501</v>
      </c>
      <c r="M18" s="26"/>
      <c r="N18" s="26"/>
      <c r="O18" s="22"/>
      <c r="P18" s="22"/>
      <c r="Q18" s="21"/>
      <c r="R18" s="22"/>
      <c r="S18" s="21"/>
      <c r="T18" s="109">
        <v>0</v>
      </c>
      <c r="U18" s="109">
        <v>0</v>
      </c>
      <c r="V18" s="105">
        <f t="shared" si="0"/>
        <v>0</v>
      </c>
      <c r="W18" s="109"/>
      <c r="X18" s="109"/>
      <c r="Y18" s="49">
        <f t="shared" si="2"/>
        <v>0</v>
      </c>
      <c r="Z18" s="44">
        <v>0</v>
      </c>
      <c r="AA18" s="44">
        <v>0</v>
      </c>
      <c r="AB18" s="44">
        <v>0</v>
      </c>
      <c r="AC18" s="106"/>
      <c r="AD18" s="239">
        <v>59.09</v>
      </c>
      <c r="AE18" s="243">
        <f t="shared" si="14"/>
        <v>1592.1399999999999</v>
      </c>
      <c r="AF18" s="243"/>
      <c r="AG18" s="7"/>
      <c r="AH18" s="7">
        <f t="shared" si="6"/>
        <v>0</v>
      </c>
      <c r="AI18" s="84">
        <v>906048</v>
      </c>
      <c r="AJ18" s="76">
        <f t="shared" si="7"/>
        <v>6506</v>
      </c>
      <c r="AK18" s="84">
        <v>110134</v>
      </c>
      <c r="AL18" s="76">
        <f t="shared" si="3"/>
        <v>474</v>
      </c>
      <c r="AM18" s="76">
        <v>14327</v>
      </c>
      <c r="AN18" s="76">
        <f t="shared" si="8"/>
        <v>61</v>
      </c>
      <c r="AO18" s="76">
        <v>103466</v>
      </c>
      <c r="AP18" s="227">
        <f t="shared" si="13"/>
        <v>0</v>
      </c>
      <c r="AQ18" s="76">
        <v>142915</v>
      </c>
      <c r="AR18" s="227">
        <f t="shared" si="9"/>
        <v>0</v>
      </c>
      <c r="AS18" s="49">
        <f t="shared" si="4"/>
        <v>0</v>
      </c>
      <c r="AT18" s="17"/>
      <c r="AV18" s="79"/>
      <c r="AW18" s="74"/>
      <c r="AX18" s="74"/>
    </row>
    <row r="19" spans="2:50" x14ac:dyDescent="0.25">
      <c r="B19" s="8">
        <f t="shared" si="10"/>
        <v>44998</v>
      </c>
      <c r="C19" s="42" t="str">
        <f t="shared" si="1"/>
        <v>Mon</v>
      </c>
      <c r="D19" s="180">
        <v>0.49708449999999998</v>
      </c>
      <c r="E19" s="180">
        <v>0.70639450000000004</v>
      </c>
      <c r="F19" s="180">
        <v>0.54570026000000005</v>
      </c>
      <c r="G19" s="345">
        <f t="shared" si="11"/>
        <v>14605.646821000002</v>
      </c>
      <c r="H19" s="276"/>
      <c r="I19" s="363">
        <v>19694</v>
      </c>
      <c r="J19" s="344">
        <f t="shared" si="5"/>
        <v>0</v>
      </c>
      <c r="K19" s="352">
        <v>5052995</v>
      </c>
      <c r="L19" s="348">
        <f t="shared" si="12"/>
        <v>16912</v>
      </c>
      <c r="M19" s="26"/>
      <c r="N19" s="26"/>
      <c r="O19" s="22"/>
      <c r="P19" s="22"/>
      <c r="Q19" s="21"/>
      <c r="R19" s="22"/>
      <c r="S19" s="21"/>
      <c r="T19" s="109">
        <v>0</v>
      </c>
      <c r="U19" s="109">
        <v>0</v>
      </c>
      <c r="V19" s="105">
        <f t="shared" si="0"/>
        <v>0</v>
      </c>
      <c r="W19" s="109"/>
      <c r="X19" s="103"/>
      <c r="Y19" s="49">
        <f t="shared" si="2"/>
        <v>0</v>
      </c>
      <c r="Z19" s="44">
        <v>0</v>
      </c>
      <c r="AA19" s="44">
        <v>0</v>
      </c>
      <c r="AB19" s="44">
        <v>0</v>
      </c>
      <c r="AC19" s="106"/>
      <c r="AD19" s="244">
        <v>176.22</v>
      </c>
      <c r="AE19" s="243">
        <f t="shared" si="14"/>
        <v>1768.36</v>
      </c>
      <c r="AF19" s="243"/>
      <c r="AG19" s="7"/>
      <c r="AH19" s="7">
        <f t="shared" si="6"/>
        <v>0</v>
      </c>
      <c r="AI19" s="84">
        <v>908870</v>
      </c>
      <c r="AJ19" s="76">
        <f t="shared" si="7"/>
        <v>2822</v>
      </c>
      <c r="AK19" s="84">
        <v>111533</v>
      </c>
      <c r="AL19" s="76">
        <f t="shared" si="3"/>
        <v>1399</v>
      </c>
      <c r="AM19" s="76">
        <v>14327</v>
      </c>
      <c r="AN19" s="76">
        <f t="shared" si="8"/>
        <v>0</v>
      </c>
      <c r="AO19" s="76">
        <v>103466</v>
      </c>
      <c r="AP19" s="227">
        <f t="shared" si="13"/>
        <v>0</v>
      </c>
      <c r="AQ19" s="76">
        <v>142915</v>
      </c>
      <c r="AR19" s="227">
        <f t="shared" si="9"/>
        <v>0</v>
      </c>
      <c r="AS19" s="49">
        <f t="shared" si="4"/>
        <v>0</v>
      </c>
      <c r="AT19" s="17"/>
      <c r="AV19" s="79"/>
      <c r="AW19" s="74"/>
      <c r="AX19" s="74"/>
    </row>
    <row r="20" spans="2:50" x14ac:dyDescent="0.25">
      <c r="B20" s="8">
        <f t="shared" si="10"/>
        <v>44999</v>
      </c>
      <c r="C20" s="42" t="str">
        <f t="shared" si="1"/>
        <v>Tue</v>
      </c>
      <c r="D20" s="180">
        <v>0.65143722999999998</v>
      </c>
      <c r="E20" s="180">
        <v>0.60960921999999995</v>
      </c>
      <c r="F20" s="180">
        <v>0.75194289999999997</v>
      </c>
      <c r="G20" s="345">
        <f t="shared" si="11"/>
        <v>16808.461072500002</v>
      </c>
      <c r="H20" s="276"/>
      <c r="I20" s="363">
        <v>19694</v>
      </c>
      <c r="J20" s="344">
        <f t="shared" si="5"/>
        <v>0</v>
      </c>
      <c r="K20" s="352">
        <v>5071206</v>
      </c>
      <c r="L20" s="348">
        <f t="shared" si="12"/>
        <v>18211</v>
      </c>
      <c r="M20" s="26"/>
      <c r="N20" s="26"/>
      <c r="O20" s="22"/>
      <c r="P20" s="22"/>
      <c r="Q20" s="21"/>
      <c r="R20" s="22"/>
      <c r="S20" s="21"/>
      <c r="T20" s="109">
        <v>0</v>
      </c>
      <c r="U20" s="109">
        <v>0</v>
      </c>
      <c r="V20" s="105">
        <f t="shared" si="0"/>
        <v>0</v>
      </c>
      <c r="W20" s="109"/>
      <c r="X20" s="103"/>
      <c r="Y20" s="49">
        <f t="shared" si="2"/>
        <v>0</v>
      </c>
      <c r="Z20" s="44">
        <v>0</v>
      </c>
      <c r="AA20" s="44">
        <v>0</v>
      </c>
      <c r="AB20" s="44">
        <v>0</v>
      </c>
      <c r="AC20" s="106"/>
      <c r="AD20" s="244">
        <v>124.82</v>
      </c>
      <c r="AE20" s="243">
        <f t="shared" si="14"/>
        <v>1893.1799999999998</v>
      </c>
      <c r="AF20" s="243"/>
      <c r="AG20" s="7"/>
      <c r="AH20" s="7">
        <f t="shared" si="6"/>
        <v>0</v>
      </c>
      <c r="AI20" s="84">
        <v>911843</v>
      </c>
      <c r="AJ20" s="76">
        <f t="shared" si="7"/>
        <v>2973</v>
      </c>
      <c r="AK20" s="84">
        <v>111909</v>
      </c>
      <c r="AL20" s="76">
        <f t="shared" si="3"/>
        <v>376</v>
      </c>
      <c r="AM20" s="76">
        <v>14517</v>
      </c>
      <c r="AN20" s="76">
        <f t="shared" si="8"/>
        <v>190</v>
      </c>
      <c r="AO20" s="76">
        <v>103466</v>
      </c>
      <c r="AP20" s="227">
        <f t="shared" si="13"/>
        <v>0</v>
      </c>
      <c r="AQ20" s="76">
        <v>142915</v>
      </c>
      <c r="AR20" s="227">
        <f t="shared" si="9"/>
        <v>0</v>
      </c>
      <c r="AS20" s="49">
        <f t="shared" si="4"/>
        <v>0</v>
      </c>
      <c r="AT20" s="17"/>
      <c r="AV20" s="79"/>
      <c r="AW20" s="74"/>
      <c r="AX20" s="74"/>
    </row>
    <row r="21" spans="2:50" x14ac:dyDescent="0.25">
      <c r="B21" s="8">
        <f t="shared" si="10"/>
        <v>45000</v>
      </c>
      <c r="C21" s="42" t="str">
        <f t="shared" si="1"/>
        <v>Wed</v>
      </c>
      <c r="D21" s="180">
        <v>0.67878143000000002</v>
      </c>
      <c r="E21" s="180">
        <v>0.68017647000000003</v>
      </c>
      <c r="F21" s="180">
        <v>0.67627227999999995</v>
      </c>
      <c r="G21" s="345">
        <f t="shared" si="11"/>
        <v>16994.172003</v>
      </c>
      <c r="H21" s="276"/>
      <c r="I21" s="363">
        <v>19784</v>
      </c>
      <c r="J21" s="344">
        <f t="shared" si="5"/>
        <v>90</v>
      </c>
      <c r="K21" s="352">
        <v>5089933</v>
      </c>
      <c r="L21" s="348">
        <f t="shared" si="12"/>
        <v>18727</v>
      </c>
      <c r="M21" s="26"/>
      <c r="N21" s="26"/>
      <c r="O21" s="22"/>
      <c r="P21" s="22"/>
      <c r="Q21" s="21"/>
      <c r="R21" s="22"/>
      <c r="S21" s="21"/>
      <c r="T21" s="109">
        <v>0</v>
      </c>
      <c r="U21" s="109">
        <v>0</v>
      </c>
      <c r="V21" s="105">
        <f t="shared" si="0"/>
        <v>0</v>
      </c>
      <c r="W21" s="109"/>
      <c r="X21" s="103"/>
      <c r="Y21" s="49">
        <f t="shared" si="2"/>
        <v>0</v>
      </c>
      <c r="Z21" s="44">
        <v>0</v>
      </c>
      <c r="AA21" s="44">
        <v>0</v>
      </c>
      <c r="AB21" s="44">
        <v>0</v>
      </c>
      <c r="AC21" s="106"/>
      <c r="AD21" s="244">
        <v>154.63999999999999</v>
      </c>
      <c r="AE21" s="243">
        <f t="shared" si="14"/>
        <v>2047.8199999999997</v>
      </c>
      <c r="AF21" s="243"/>
      <c r="AG21" s="7"/>
      <c r="AH21" s="7">
        <f t="shared" si="6"/>
        <v>0</v>
      </c>
      <c r="AI21" s="84">
        <v>914959</v>
      </c>
      <c r="AJ21" s="76">
        <f t="shared" si="7"/>
        <v>3116</v>
      </c>
      <c r="AK21" s="84">
        <v>112437</v>
      </c>
      <c r="AL21" s="76">
        <f t="shared" si="3"/>
        <v>528</v>
      </c>
      <c r="AM21" s="76">
        <v>14552</v>
      </c>
      <c r="AN21" s="76">
        <f t="shared" si="8"/>
        <v>35</v>
      </c>
      <c r="AO21" s="76">
        <v>103466</v>
      </c>
      <c r="AP21" s="227">
        <f t="shared" si="13"/>
        <v>0</v>
      </c>
      <c r="AQ21" s="76">
        <v>142915</v>
      </c>
      <c r="AR21" s="227">
        <f t="shared" si="9"/>
        <v>0</v>
      </c>
      <c r="AS21" s="49">
        <f t="shared" si="4"/>
        <v>0</v>
      </c>
      <c r="AT21" s="17"/>
      <c r="AW21" s="74"/>
      <c r="AX21" s="74"/>
    </row>
    <row r="22" spans="2:50" x14ac:dyDescent="0.25">
      <c r="B22" s="8">
        <f t="shared" si="10"/>
        <v>45001</v>
      </c>
      <c r="C22" s="42" t="str">
        <f t="shared" si="1"/>
        <v>Thu</v>
      </c>
      <c r="D22" s="180">
        <v>0.74946564000000004</v>
      </c>
      <c r="E22" s="180">
        <v>0.68865096999999997</v>
      </c>
      <c r="F22" s="180">
        <v>0.76866928000000001</v>
      </c>
      <c r="G22" s="345">
        <f t="shared" si="11"/>
        <v>18426.6621815</v>
      </c>
      <c r="H22" s="276"/>
      <c r="I22" s="363">
        <v>20374</v>
      </c>
      <c r="J22" s="344">
        <f t="shared" si="5"/>
        <v>590</v>
      </c>
      <c r="K22" s="351">
        <v>5111887</v>
      </c>
      <c r="L22" s="348">
        <f t="shared" si="12"/>
        <v>21954</v>
      </c>
      <c r="M22" s="26"/>
      <c r="N22" s="26"/>
      <c r="O22" s="22"/>
      <c r="P22" s="22"/>
      <c r="Q22" s="21"/>
      <c r="R22" s="22"/>
      <c r="S22" s="21"/>
      <c r="T22" s="109">
        <v>0</v>
      </c>
      <c r="U22" s="109">
        <v>0</v>
      </c>
      <c r="V22" s="105">
        <f t="shared" si="0"/>
        <v>0</v>
      </c>
      <c r="W22" s="109"/>
      <c r="X22" s="103"/>
      <c r="Y22" s="49">
        <f t="shared" si="2"/>
        <v>0</v>
      </c>
      <c r="Z22" s="44">
        <v>0</v>
      </c>
      <c r="AA22" s="44">
        <v>0</v>
      </c>
      <c r="AB22" s="44">
        <v>0</v>
      </c>
      <c r="AC22" s="106"/>
      <c r="AD22" s="244">
        <v>167.66</v>
      </c>
      <c r="AE22" s="243">
        <f t="shared" si="14"/>
        <v>2215.4799999999996</v>
      </c>
      <c r="AF22" s="243"/>
      <c r="AG22" s="7"/>
      <c r="AH22" s="7">
        <f t="shared" si="6"/>
        <v>0</v>
      </c>
      <c r="AI22" s="84">
        <v>918057</v>
      </c>
      <c r="AJ22" s="76">
        <f t="shared" si="7"/>
        <v>3098</v>
      </c>
      <c r="AK22" s="84">
        <v>112941</v>
      </c>
      <c r="AL22" s="76">
        <f t="shared" si="3"/>
        <v>504</v>
      </c>
      <c r="AM22" s="76">
        <v>14589</v>
      </c>
      <c r="AN22" s="76">
        <f t="shared" si="8"/>
        <v>37</v>
      </c>
      <c r="AO22" s="76">
        <v>103466</v>
      </c>
      <c r="AP22" s="227">
        <f t="shared" si="13"/>
        <v>0</v>
      </c>
      <c r="AQ22" s="76">
        <v>142915</v>
      </c>
      <c r="AR22" s="227">
        <f t="shared" si="9"/>
        <v>0</v>
      </c>
      <c r="AS22" s="49">
        <f t="shared" si="4"/>
        <v>0</v>
      </c>
      <c r="AT22" s="17"/>
      <c r="AW22" s="74"/>
      <c r="AX22" s="74"/>
    </row>
    <row r="23" spans="2:50" x14ac:dyDescent="0.25">
      <c r="B23" s="8">
        <f t="shared" si="10"/>
        <v>45002</v>
      </c>
      <c r="C23" s="42" t="str">
        <f t="shared" si="1"/>
        <v>Fri</v>
      </c>
      <c r="D23" s="180">
        <v>0.60733643000000004</v>
      </c>
      <c r="E23" s="180">
        <v>0.65607254000000004</v>
      </c>
      <c r="F23" s="180">
        <v>0.76016309999999998</v>
      </c>
      <c r="G23" s="345">
        <f t="shared" si="11"/>
        <v>16896.826784500001</v>
      </c>
      <c r="H23" s="277"/>
      <c r="I23" s="363">
        <v>20532</v>
      </c>
      <c r="J23" s="344">
        <f t="shared" si="5"/>
        <v>158</v>
      </c>
      <c r="K23" s="351">
        <v>5133101</v>
      </c>
      <c r="L23" s="348">
        <f t="shared" si="12"/>
        <v>21214</v>
      </c>
      <c r="M23" s="26"/>
      <c r="N23" s="26"/>
      <c r="O23" s="22"/>
      <c r="P23" s="22"/>
      <c r="Q23" s="21"/>
      <c r="R23" s="22"/>
      <c r="S23" s="21"/>
      <c r="T23" s="109">
        <v>0</v>
      </c>
      <c r="U23" s="109">
        <v>0</v>
      </c>
      <c r="V23" s="105">
        <f t="shared" si="0"/>
        <v>0</v>
      </c>
      <c r="W23" s="109"/>
      <c r="X23" s="103"/>
      <c r="Y23" s="49">
        <f t="shared" si="2"/>
        <v>0</v>
      </c>
      <c r="Z23" s="44">
        <v>0</v>
      </c>
      <c r="AA23" s="44">
        <v>0</v>
      </c>
      <c r="AB23" s="44">
        <v>0</v>
      </c>
      <c r="AC23" s="106"/>
      <c r="AD23" s="244">
        <v>172.44</v>
      </c>
      <c r="AE23" s="243">
        <f t="shared" si="14"/>
        <v>2387.9199999999996</v>
      </c>
      <c r="AF23" s="243"/>
      <c r="AG23" s="7"/>
      <c r="AH23" s="7">
        <f t="shared" si="6"/>
        <v>0</v>
      </c>
      <c r="AI23" s="84">
        <v>921834</v>
      </c>
      <c r="AJ23" s="76">
        <f t="shared" si="7"/>
        <v>3777</v>
      </c>
      <c r="AK23" s="84">
        <v>113482</v>
      </c>
      <c r="AL23" s="76">
        <f t="shared" si="3"/>
        <v>541</v>
      </c>
      <c r="AM23" s="76">
        <v>14627</v>
      </c>
      <c r="AN23" s="76">
        <f t="shared" si="8"/>
        <v>38</v>
      </c>
      <c r="AO23" s="76">
        <v>103466</v>
      </c>
      <c r="AP23" s="227">
        <f t="shared" si="13"/>
        <v>0</v>
      </c>
      <c r="AQ23" s="76">
        <v>142915</v>
      </c>
      <c r="AR23" s="227">
        <f t="shared" si="9"/>
        <v>0</v>
      </c>
      <c r="AS23" s="49">
        <f t="shared" si="4"/>
        <v>0</v>
      </c>
      <c r="AT23" s="17"/>
    </row>
    <row r="24" spans="2:50" x14ac:dyDescent="0.25">
      <c r="B24" s="8">
        <f t="shared" si="10"/>
        <v>45003</v>
      </c>
      <c r="C24" s="42" t="str">
        <f t="shared" si="1"/>
        <v>Sat</v>
      </c>
      <c r="D24" s="180">
        <v>0.78615570000000001</v>
      </c>
      <c r="E24" s="180">
        <v>0.71414398000000001</v>
      </c>
      <c r="F24" s="180">
        <v>0.57887608000000002</v>
      </c>
      <c r="G24" s="345">
        <f t="shared" si="11"/>
        <v>17361.117596</v>
      </c>
      <c r="H24" s="277"/>
      <c r="I24" s="363">
        <v>20532</v>
      </c>
      <c r="J24" s="344">
        <f t="shared" si="5"/>
        <v>0</v>
      </c>
      <c r="K24" s="351">
        <v>5154099</v>
      </c>
      <c r="L24" s="348">
        <f t="shared" si="12"/>
        <v>20998</v>
      </c>
      <c r="M24" s="26"/>
      <c r="N24" s="26"/>
      <c r="O24" s="22"/>
      <c r="P24" s="22"/>
      <c r="Q24" s="21"/>
      <c r="R24" s="22"/>
      <c r="S24" s="21"/>
      <c r="T24" s="109">
        <v>0</v>
      </c>
      <c r="U24" s="109">
        <v>0</v>
      </c>
      <c r="V24" s="105">
        <f t="shared" si="0"/>
        <v>0</v>
      </c>
      <c r="W24" s="109"/>
      <c r="X24" s="103"/>
      <c r="Y24" s="49">
        <f t="shared" si="2"/>
        <v>0</v>
      </c>
      <c r="Z24" s="44">
        <v>0</v>
      </c>
      <c r="AA24" s="44">
        <v>0</v>
      </c>
      <c r="AB24" s="44">
        <v>0</v>
      </c>
      <c r="AC24" s="106"/>
      <c r="AD24" s="244">
        <v>129.13999999999999</v>
      </c>
      <c r="AE24" s="243">
        <f t="shared" si="14"/>
        <v>2517.0599999999995</v>
      </c>
      <c r="AF24" s="243"/>
      <c r="AG24" s="7"/>
      <c r="AH24" s="7">
        <f t="shared" si="6"/>
        <v>0</v>
      </c>
      <c r="AI24" s="84">
        <v>921834</v>
      </c>
      <c r="AJ24" s="76">
        <f t="shared" si="7"/>
        <v>0</v>
      </c>
      <c r="AK24" s="84">
        <v>114310</v>
      </c>
      <c r="AL24" s="76">
        <f t="shared" si="3"/>
        <v>828</v>
      </c>
      <c r="AM24" s="76">
        <v>14627</v>
      </c>
      <c r="AN24" s="76">
        <f t="shared" si="8"/>
        <v>0</v>
      </c>
      <c r="AO24" s="76">
        <v>103466</v>
      </c>
      <c r="AP24" s="227">
        <f t="shared" si="13"/>
        <v>0</v>
      </c>
      <c r="AQ24" s="76">
        <v>142915</v>
      </c>
      <c r="AR24" s="227">
        <f t="shared" si="9"/>
        <v>0</v>
      </c>
      <c r="AS24" s="49">
        <f t="shared" si="4"/>
        <v>0</v>
      </c>
      <c r="AT24" s="17"/>
      <c r="AV24" s="74"/>
    </row>
    <row r="25" spans="2:50" x14ac:dyDescent="0.25">
      <c r="B25" s="8">
        <f t="shared" si="10"/>
        <v>45004</v>
      </c>
      <c r="C25" s="42" t="str">
        <f t="shared" si="1"/>
        <v>Sun</v>
      </c>
      <c r="D25" s="180">
        <v>0.67417526000000005</v>
      </c>
      <c r="E25" s="180">
        <v>0.78577965000000005</v>
      </c>
      <c r="F25" s="180">
        <v>0.77155731000000005</v>
      </c>
      <c r="G25" s="345">
        <f t="shared" si="11"/>
        <v>18633.127037000002</v>
      </c>
      <c r="H25" s="277"/>
      <c r="I25" s="363">
        <v>20706</v>
      </c>
      <c r="J25" s="344">
        <f t="shared" si="5"/>
        <v>174</v>
      </c>
      <c r="K25" s="351">
        <v>5171858</v>
      </c>
      <c r="L25" s="348">
        <f t="shared" si="12"/>
        <v>17759</v>
      </c>
      <c r="M25" s="26"/>
      <c r="N25" s="26"/>
      <c r="O25" s="22"/>
      <c r="P25" s="22"/>
      <c r="Q25" s="21"/>
      <c r="R25" s="22"/>
      <c r="S25" s="21"/>
      <c r="T25" s="109">
        <v>0</v>
      </c>
      <c r="U25" s="109">
        <v>0</v>
      </c>
      <c r="V25" s="105">
        <f t="shared" si="0"/>
        <v>0</v>
      </c>
      <c r="W25" s="109"/>
      <c r="X25" s="103"/>
      <c r="Y25" s="49">
        <f t="shared" si="2"/>
        <v>0</v>
      </c>
      <c r="Z25" s="44">
        <v>0</v>
      </c>
      <c r="AA25" s="44">
        <v>0</v>
      </c>
      <c r="AB25" s="44">
        <v>0</v>
      </c>
      <c r="AC25" s="106"/>
      <c r="AD25" s="244">
        <v>65.61</v>
      </c>
      <c r="AE25" s="243">
        <f>AD25+AE24</f>
        <v>2582.6699999999996</v>
      </c>
      <c r="AF25" s="243"/>
      <c r="AG25" s="335"/>
      <c r="AH25" s="7">
        <f t="shared" si="6"/>
        <v>0</v>
      </c>
      <c r="AI25" s="84">
        <v>926984</v>
      </c>
      <c r="AJ25" s="76">
        <f t="shared" si="7"/>
        <v>5150</v>
      </c>
      <c r="AK25" s="84">
        <v>114310</v>
      </c>
      <c r="AL25" s="76">
        <f t="shared" si="3"/>
        <v>0</v>
      </c>
      <c r="AM25" s="76">
        <v>14681</v>
      </c>
      <c r="AN25" s="76">
        <f t="shared" si="8"/>
        <v>54</v>
      </c>
      <c r="AO25" s="76">
        <v>103466</v>
      </c>
      <c r="AP25" s="227">
        <f t="shared" si="13"/>
        <v>0</v>
      </c>
      <c r="AQ25" s="76">
        <v>142915</v>
      </c>
      <c r="AR25" s="227">
        <f t="shared" si="9"/>
        <v>0</v>
      </c>
      <c r="AS25" s="49">
        <f t="shared" si="4"/>
        <v>0</v>
      </c>
      <c r="AT25" s="17"/>
      <c r="AV25" s="74"/>
    </row>
    <row r="26" spans="2:50" x14ac:dyDescent="0.25">
      <c r="B26" s="8">
        <f t="shared" si="10"/>
        <v>45005</v>
      </c>
      <c r="C26" s="42" t="str">
        <f t="shared" si="1"/>
        <v>Mon</v>
      </c>
      <c r="D26" s="180">
        <v>0.78814269999999997</v>
      </c>
      <c r="E26" s="180">
        <v>0.73208519000000005</v>
      </c>
      <c r="F26" s="180">
        <v>0.55408360000000001</v>
      </c>
      <c r="G26" s="345">
        <f t="shared" si="11"/>
        <v>17320.500941500002</v>
      </c>
      <c r="H26" s="277"/>
      <c r="I26" s="363">
        <v>21007</v>
      </c>
      <c r="J26" s="344">
        <f t="shared" si="5"/>
        <v>301</v>
      </c>
      <c r="K26" s="351">
        <v>5191679</v>
      </c>
      <c r="L26" s="348">
        <f t="shared" si="12"/>
        <v>19821</v>
      </c>
      <c r="M26" s="26"/>
      <c r="N26" s="26"/>
      <c r="O26" s="22"/>
      <c r="P26" s="22"/>
      <c r="Q26" s="21"/>
      <c r="R26" s="22"/>
      <c r="S26" s="21"/>
      <c r="T26" s="109">
        <v>0</v>
      </c>
      <c r="U26" s="109">
        <v>0</v>
      </c>
      <c r="V26" s="105">
        <f t="shared" si="0"/>
        <v>0</v>
      </c>
      <c r="W26" s="109"/>
      <c r="X26" s="103"/>
      <c r="Y26" s="49">
        <f t="shared" si="2"/>
        <v>0</v>
      </c>
      <c r="Z26" s="44">
        <v>0</v>
      </c>
      <c r="AA26" s="44">
        <v>0</v>
      </c>
      <c r="AB26" s="44">
        <v>0</v>
      </c>
      <c r="AC26" s="106"/>
      <c r="AD26" s="244">
        <v>161.47</v>
      </c>
      <c r="AE26" s="243">
        <f>AD26+AE25</f>
        <v>2744.1399999999994</v>
      </c>
      <c r="AF26" s="243"/>
      <c r="AG26" s="336"/>
      <c r="AH26" s="7">
        <f t="shared" si="6"/>
        <v>0</v>
      </c>
      <c r="AI26" s="84">
        <v>930357</v>
      </c>
      <c r="AJ26" s="76">
        <f t="shared" si="7"/>
        <v>3373</v>
      </c>
      <c r="AK26" s="84">
        <v>114808</v>
      </c>
      <c r="AL26" s="76">
        <f t="shared" si="3"/>
        <v>498</v>
      </c>
      <c r="AM26" s="76">
        <v>14716</v>
      </c>
      <c r="AN26" s="76">
        <f t="shared" si="8"/>
        <v>35</v>
      </c>
      <c r="AO26" s="76">
        <v>103466</v>
      </c>
      <c r="AP26" s="227">
        <f t="shared" si="13"/>
        <v>0</v>
      </c>
      <c r="AQ26" s="76">
        <v>142915</v>
      </c>
      <c r="AR26" s="227">
        <f t="shared" si="9"/>
        <v>0</v>
      </c>
      <c r="AS26" s="49">
        <f t="shared" si="4"/>
        <v>0</v>
      </c>
      <c r="AT26" s="17"/>
      <c r="AV26" s="74"/>
    </row>
    <row r="27" spans="2:50" x14ac:dyDescent="0.25">
      <c r="B27" s="8">
        <f t="shared" si="10"/>
        <v>45006</v>
      </c>
      <c r="C27" s="42" t="str">
        <f t="shared" si="1"/>
        <v>Tue</v>
      </c>
      <c r="D27" s="180">
        <v>0.38873886000000002</v>
      </c>
      <c r="E27" s="180">
        <v>0.33978103999999998</v>
      </c>
      <c r="F27" s="180">
        <v>0.35782336999999997</v>
      </c>
      <c r="G27" s="345">
        <f t="shared" si="11"/>
        <v>9070.9663044999998</v>
      </c>
      <c r="H27" s="277"/>
      <c r="I27" s="363">
        <v>21874</v>
      </c>
      <c r="J27" s="344">
        <f t="shared" si="5"/>
        <v>867</v>
      </c>
      <c r="K27" s="351">
        <v>5202244</v>
      </c>
      <c r="L27" s="348">
        <f t="shared" si="12"/>
        <v>10565</v>
      </c>
      <c r="M27" s="26"/>
      <c r="N27" s="26"/>
      <c r="O27" s="22"/>
      <c r="P27" s="22"/>
      <c r="Q27" s="21"/>
      <c r="R27" s="22"/>
      <c r="S27" s="21"/>
      <c r="T27" s="109">
        <v>0</v>
      </c>
      <c r="U27" s="109">
        <v>0</v>
      </c>
      <c r="V27" s="107">
        <f t="shared" si="0"/>
        <v>0</v>
      </c>
      <c r="W27" s="109"/>
      <c r="X27" s="103"/>
      <c r="Y27" s="49">
        <f t="shared" si="2"/>
        <v>0</v>
      </c>
      <c r="Z27" s="44">
        <v>0</v>
      </c>
      <c r="AA27" s="44">
        <v>0</v>
      </c>
      <c r="AB27" s="44">
        <v>0</v>
      </c>
      <c r="AC27" s="106"/>
      <c r="AD27" s="244">
        <v>151.51</v>
      </c>
      <c r="AE27" s="243">
        <f t="shared" si="14"/>
        <v>2895.6499999999996</v>
      </c>
      <c r="AF27" s="243"/>
      <c r="AG27" s="136"/>
      <c r="AH27" s="7">
        <f t="shared" si="6"/>
        <v>0</v>
      </c>
      <c r="AI27" s="84">
        <v>932971</v>
      </c>
      <c r="AJ27" s="76">
        <f t="shared" si="7"/>
        <v>2614</v>
      </c>
      <c r="AK27" s="84">
        <v>115114</v>
      </c>
      <c r="AL27" s="76">
        <f t="shared" si="3"/>
        <v>306</v>
      </c>
      <c r="AM27" s="76">
        <v>14740</v>
      </c>
      <c r="AN27" s="76">
        <f t="shared" si="8"/>
        <v>24</v>
      </c>
      <c r="AO27" s="76">
        <v>103466</v>
      </c>
      <c r="AP27" s="227">
        <f t="shared" si="13"/>
        <v>0</v>
      </c>
      <c r="AQ27" s="76">
        <v>142915</v>
      </c>
      <c r="AR27" s="227">
        <f t="shared" si="9"/>
        <v>0</v>
      </c>
      <c r="AS27" s="49">
        <f t="shared" si="4"/>
        <v>0</v>
      </c>
      <c r="AT27" s="17"/>
      <c r="AV27" s="74"/>
    </row>
    <row r="28" spans="2:50" ht="15" x14ac:dyDescent="0.25">
      <c r="B28" s="8">
        <f t="shared" si="10"/>
        <v>45007</v>
      </c>
      <c r="C28" s="42" t="str">
        <f t="shared" si="1"/>
        <v>Wed</v>
      </c>
      <c r="D28" s="180">
        <v>0.78134842000000004</v>
      </c>
      <c r="E28" s="180">
        <v>0.80650641999999995</v>
      </c>
      <c r="F28" s="180">
        <v>0.76081619</v>
      </c>
      <c r="G28" s="345">
        <f t="shared" si="11"/>
        <v>19611.4031005</v>
      </c>
      <c r="H28" s="277"/>
      <c r="I28" s="363">
        <v>22265</v>
      </c>
      <c r="J28" s="344">
        <f t="shared" si="5"/>
        <v>391</v>
      </c>
      <c r="K28" s="351">
        <v>5221299</v>
      </c>
      <c r="L28" s="348">
        <f t="shared" si="12"/>
        <v>19055</v>
      </c>
      <c r="M28" s="26"/>
      <c r="N28" s="26"/>
      <c r="O28" s="22"/>
      <c r="P28" s="22"/>
      <c r="Q28" s="21"/>
      <c r="R28" s="22"/>
      <c r="S28" s="21"/>
      <c r="T28" s="109">
        <v>0</v>
      </c>
      <c r="U28" s="109">
        <v>0</v>
      </c>
      <c r="V28" s="107">
        <f t="shared" si="0"/>
        <v>0</v>
      </c>
      <c r="W28" s="109"/>
      <c r="X28" s="103"/>
      <c r="Y28" s="49">
        <f t="shared" si="2"/>
        <v>0</v>
      </c>
      <c r="Z28" s="44">
        <v>0</v>
      </c>
      <c r="AA28" s="44">
        <v>0</v>
      </c>
      <c r="AB28" s="44">
        <v>0</v>
      </c>
      <c r="AC28" s="106"/>
      <c r="AD28" s="246">
        <v>145.07</v>
      </c>
      <c r="AE28" s="243">
        <f t="shared" si="14"/>
        <v>3040.72</v>
      </c>
      <c r="AF28" s="243"/>
      <c r="AG28" s="136"/>
      <c r="AH28" s="7">
        <f t="shared" si="6"/>
        <v>0</v>
      </c>
      <c r="AI28" s="84">
        <v>936117</v>
      </c>
      <c r="AJ28" s="76">
        <f t="shared" si="7"/>
        <v>3146</v>
      </c>
      <c r="AK28" s="84">
        <v>115564</v>
      </c>
      <c r="AL28" s="76">
        <f t="shared" si="3"/>
        <v>450</v>
      </c>
      <c r="AM28" s="76">
        <v>14763</v>
      </c>
      <c r="AN28" s="76">
        <f t="shared" si="8"/>
        <v>23</v>
      </c>
      <c r="AO28" s="76">
        <v>103466</v>
      </c>
      <c r="AP28" s="227">
        <f t="shared" si="13"/>
        <v>0</v>
      </c>
      <c r="AQ28" s="76">
        <v>142915</v>
      </c>
      <c r="AR28" s="227">
        <f t="shared" si="9"/>
        <v>0</v>
      </c>
      <c r="AS28" s="49">
        <f t="shared" si="4"/>
        <v>0</v>
      </c>
      <c r="AT28" s="17"/>
      <c r="AV28" s="74"/>
    </row>
    <row r="29" spans="2:50" x14ac:dyDescent="0.25">
      <c r="B29" s="8">
        <f t="shared" si="10"/>
        <v>45008</v>
      </c>
      <c r="C29" s="42" t="str">
        <f t="shared" si="1"/>
        <v>Thu</v>
      </c>
      <c r="D29" s="180">
        <v>0.63021254999999998</v>
      </c>
      <c r="E29" s="180">
        <v>0.65630584999999997</v>
      </c>
      <c r="F29" s="180">
        <v>0.83693892999999997</v>
      </c>
      <c r="G29" s="345">
        <f t="shared" si="11"/>
        <v>17730.868705499997</v>
      </c>
      <c r="H29" s="277"/>
      <c r="I29" s="363">
        <v>22265</v>
      </c>
      <c r="J29" s="344">
        <f t="shared" si="5"/>
        <v>0</v>
      </c>
      <c r="K29" s="351">
        <v>5239031</v>
      </c>
      <c r="L29" s="348">
        <f t="shared" si="12"/>
        <v>17732</v>
      </c>
      <c r="M29" s="26"/>
      <c r="N29" s="26"/>
      <c r="O29" s="22"/>
      <c r="P29" s="22"/>
      <c r="Q29" s="21"/>
      <c r="R29" s="22"/>
      <c r="S29" s="21"/>
      <c r="T29" s="109">
        <v>0</v>
      </c>
      <c r="U29" s="109">
        <v>0</v>
      </c>
      <c r="V29" s="107">
        <f t="shared" si="0"/>
        <v>0</v>
      </c>
      <c r="W29" s="109"/>
      <c r="X29" s="103"/>
      <c r="Y29" s="49">
        <f t="shared" si="2"/>
        <v>0</v>
      </c>
      <c r="Z29" s="44">
        <v>0</v>
      </c>
      <c r="AA29" s="44">
        <v>0</v>
      </c>
      <c r="AB29" s="44">
        <v>0</v>
      </c>
      <c r="AC29" s="106"/>
      <c r="AD29" s="244">
        <v>145.43</v>
      </c>
      <c r="AE29" s="243">
        <f t="shared" si="14"/>
        <v>3186.1499999999996</v>
      </c>
      <c r="AF29" s="243"/>
      <c r="AG29" s="136"/>
      <c r="AH29" s="7">
        <f t="shared" si="6"/>
        <v>0</v>
      </c>
      <c r="AI29" s="84">
        <v>939333</v>
      </c>
      <c r="AJ29" s="76">
        <f t="shared" si="7"/>
        <v>3216</v>
      </c>
      <c r="AK29" s="84">
        <v>115996</v>
      </c>
      <c r="AL29" s="76">
        <f t="shared" si="3"/>
        <v>432</v>
      </c>
      <c r="AM29" s="76">
        <v>14784</v>
      </c>
      <c r="AN29" s="76">
        <f t="shared" si="8"/>
        <v>21</v>
      </c>
      <c r="AO29" s="76">
        <v>103466</v>
      </c>
      <c r="AP29" s="227">
        <f t="shared" si="13"/>
        <v>0</v>
      </c>
      <c r="AQ29" s="76">
        <v>142915</v>
      </c>
      <c r="AR29" s="227">
        <f t="shared" si="9"/>
        <v>0</v>
      </c>
      <c r="AS29" s="49">
        <f t="shared" si="4"/>
        <v>0</v>
      </c>
      <c r="AT29" s="17"/>
      <c r="AV29" s="74"/>
    </row>
    <row r="30" spans="2:50" x14ac:dyDescent="0.25">
      <c r="B30" s="8">
        <f t="shared" si="10"/>
        <v>45009</v>
      </c>
      <c r="C30" s="42" t="str">
        <f t="shared" si="1"/>
        <v>Fri</v>
      </c>
      <c r="D30" s="180">
        <v>0.79</v>
      </c>
      <c r="E30" s="180">
        <v>0.68</v>
      </c>
      <c r="F30" s="180">
        <v>0.68</v>
      </c>
      <c r="G30" s="345">
        <f t="shared" si="11"/>
        <v>17952.5</v>
      </c>
      <c r="H30" s="277"/>
      <c r="I30" s="363">
        <v>24198</v>
      </c>
      <c r="J30" s="344">
        <f t="shared" si="5"/>
        <v>1933</v>
      </c>
      <c r="K30" s="353">
        <v>5258125</v>
      </c>
      <c r="L30" s="348">
        <f t="shared" si="12"/>
        <v>19094</v>
      </c>
      <c r="M30" s="26"/>
      <c r="N30" s="26"/>
      <c r="O30" s="22"/>
      <c r="P30" s="22"/>
      <c r="Q30" s="21"/>
      <c r="R30" s="22"/>
      <c r="S30" s="21"/>
      <c r="T30" s="109">
        <v>0</v>
      </c>
      <c r="U30" s="109">
        <v>0</v>
      </c>
      <c r="V30" s="107">
        <f t="shared" si="0"/>
        <v>0</v>
      </c>
      <c r="W30" s="109"/>
      <c r="X30" s="103"/>
      <c r="Y30" s="49">
        <f t="shared" si="2"/>
        <v>0</v>
      </c>
      <c r="Z30" s="44">
        <v>0</v>
      </c>
      <c r="AA30" s="44">
        <v>0</v>
      </c>
      <c r="AB30" s="44">
        <v>0</v>
      </c>
      <c r="AC30" s="106"/>
      <c r="AD30" s="244">
        <v>148.79</v>
      </c>
      <c r="AE30" s="243">
        <f t="shared" si="14"/>
        <v>3334.9399999999996</v>
      </c>
      <c r="AF30" s="243"/>
      <c r="AG30" s="7"/>
      <c r="AH30" s="7">
        <f t="shared" si="6"/>
        <v>0</v>
      </c>
      <c r="AI30" s="84">
        <v>942441</v>
      </c>
      <c r="AJ30" s="76">
        <f t="shared" si="7"/>
        <v>3108</v>
      </c>
      <c r="AK30" s="84">
        <v>116448</v>
      </c>
      <c r="AL30" s="76">
        <f t="shared" si="3"/>
        <v>452</v>
      </c>
      <c r="AM30" s="76">
        <v>14784</v>
      </c>
      <c r="AN30" s="76">
        <f t="shared" si="8"/>
        <v>0</v>
      </c>
      <c r="AO30" s="76">
        <v>103466</v>
      </c>
      <c r="AP30" s="227">
        <f t="shared" si="13"/>
        <v>0</v>
      </c>
      <c r="AQ30" s="76">
        <v>142915</v>
      </c>
      <c r="AR30" s="227">
        <f t="shared" si="9"/>
        <v>0</v>
      </c>
      <c r="AS30" s="49">
        <f t="shared" si="4"/>
        <v>0</v>
      </c>
      <c r="AT30" s="17"/>
    </row>
    <row r="31" spans="2:50" x14ac:dyDescent="0.25">
      <c r="B31" s="8">
        <f t="shared" si="10"/>
        <v>45010</v>
      </c>
      <c r="C31" s="42" t="str">
        <f t="shared" si="1"/>
        <v>Sat</v>
      </c>
      <c r="D31" s="180">
        <v>0.62570205999999995</v>
      </c>
      <c r="E31" s="180">
        <v>0.60443970000000002</v>
      </c>
      <c r="F31" s="180">
        <v>0.53274487000000004</v>
      </c>
      <c r="G31" s="345">
        <f t="shared" si="11"/>
        <v>14720.103360500001</v>
      </c>
      <c r="H31" s="277"/>
      <c r="I31" s="363">
        <v>24348</v>
      </c>
      <c r="J31" s="344">
        <f t="shared" si="5"/>
        <v>150</v>
      </c>
      <c r="K31" s="353">
        <v>5276738</v>
      </c>
      <c r="L31" s="348">
        <f t="shared" si="12"/>
        <v>18613</v>
      </c>
      <c r="M31" s="26"/>
      <c r="N31" s="26"/>
      <c r="O31" s="22"/>
      <c r="P31" s="22"/>
      <c r="Q31" s="21"/>
      <c r="R31" s="22"/>
      <c r="S31" s="21"/>
      <c r="T31" s="109">
        <v>0</v>
      </c>
      <c r="U31" s="109">
        <v>0</v>
      </c>
      <c r="V31" s="107">
        <f t="shared" si="0"/>
        <v>0</v>
      </c>
      <c r="W31" s="109"/>
      <c r="X31" s="103"/>
      <c r="Y31" s="49">
        <f t="shared" si="2"/>
        <v>0</v>
      </c>
      <c r="Z31" s="44">
        <v>0</v>
      </c>
      <c r="AA31" s="44">
        <v>0</v>
      </c>
      <c r="AB31" s="44">
        <v>0</v>
      </c>
      <c r="AC31" s="106"/>
      <c r="AD31" s="247">
        <v>148.86000000000001</v>
      </c>
      <c r="AE31" s="243">
        <f t="shared" si="14"/>
        <v>3483.7999999999997</v>
      </c>
      <c r="AF31" s="243"/>
      <c r="AG31" s="7"/>
      <c r="AH31" s="7">
        <f t="shared" si="6"/>
        <v>0</v>
      </c>
      <c r="AI31" s="84">
        <v>942441</v>
      </c>
      <c r="AJ31" s="76">
        <f t="shared" si="7"/>
        <v>0</v>
      </c>
      <c r="AK31" s="84">
        <v>116448</v>
      </c>
      <c r="AL31" s="76">
        <f t="shared" si="3"/>
        <v>0</v>
      </c>
      <c r="AM31" s="76">
        <v>14784</v>
      </c>
      <c r="AN31" s="76">
        <f t="shared" si="8"/>
        <v>0</v>
      </c>
      <c r="AO31" s="76">
        <v>103466</v>
      </c>
      <c r="AP31" s="227">
        <f t="shared" si="13"/>
        <v>0</v>
      </c>
      <c r="AQ31" s="76">
        <v>142915</v>
      </c>
      <c r="AR31" s="227">
        <f t="shared" si="9"/>
        <v>0</v>
      </c>
      <c r="AS31" s="49">
        <f t="shared" si="4"/>
        <v>0</v>
      </c>
      <c r="AT31" s="17"/>
    </row>
    <row r="32" spans="2:50" x14ac:dyDescent="0.25">
      <c r="B32" s="8">
        <f t="shared" si="10"/>
        <v>45011</v>
      </c>
      <c r="C32" s="42" t="str">
        <f t="shared" si="1"/>
        <v>Sun</v>
      </c>
      <c r="D32" s="180">
        <v>0.29110382000000001</v>
      </c>
      <c r="E32" s="180">
        <v>0.58532013000000005</v>
      </c>
      <c r="F32" s="180">
        <v>0.69038849000000002</v>
      </c>
      <c r="G32" s="345">
        <f t="shared" si="11"/>
        <v>13082.883874000001</v>
      </c>
      <c r="H32" s="389"/>
      <c r="I32" s="363">
        <v>24800</v>
      </c>
      <c r="J32" s="344">
        <f t="shared" si="5"/>
        <v>452</v>
      </c>
      <c r="K32" s="354">
        <v>5286337</v>
      </c>
      <c r="L32" s="348">
        <f t="shared" si="12"/>
        <v>9599</v>
      </c>
      <c r="M32" s="26"/>
      <c r="N32" s="26"/>
      <c r="O32" s="22"/>
      <c r="P32" s="22"/>
      <c r="Q32" s="21"/>
      <c r="R32" s="22"/>
      <c r="S32" s="21"/>
      <c r="T32" s="109">
        <v>0</v>
      </c>
      <c r="U32" s="109">
        <v>0</v>
      </c>
      <c r="V32" s="107">
        <f t="shared" si="0"/>
        <v>0</v>
      </c>
      <c r="W32" s="109"/>
      <c r="X32" s="103"/>
      <c r="Y32" s="49">
        <f t="shared" si="2"/>
        <v>0</v>
      </c>
      <c r="Z32" s="44">
        <v>0</v>
      </c>
      <c r="AA32" s="44">
        <v>0</v>
      </c>
      <c r="AB32" s="44">
        <v>0</v>
      </c>
      <c r="AC32" s="106"/>
      <c r="AD32" s="247"/>
      <c r="AE32" s="243">
        <f t="shared" si="14"/>
        <v>3483.7999999999997</v>
      </c>
      <c r="AF32" s="243"/>
      <c r="AG32" s="7"/>
      <c r="AH32" s="7">
        <f t="shared" si="6"/>
        <v>0</v>
      </c>
      <c r="AI32" s="84">
        <v>942441</v>
      </c>
      <c r="AJ32" s="76">
        <f t="shared" si="7"/>
        <v>0</v>
      </c>
      <c r="AK32" s="84">
        <v>116448</v>
      </c>
      <c r="AL32" s="76">
        <f t="shared" si="3"/>
        <v>0</v>
      </c>
      <c r="AM32" s="76">
        <v>14784</v>
      </c>
      <c r="AN32" s="76">
        <f t="shared" si="8"/>
        <v>0</v>
      </c>
      <c r="AO32" s="76">
        <v>103466</v>
      </c>
      <c r="AP32" s="227">
        <f t="shared" si="13"/>
        <v>0</v>
      </c>
      <c r="AQ32" s="76">
        <v>142915</v>
      </c>
      <c r="AR32" s="227">
        <f t="shared" si="9"/>
        <v>0</v>
      </c>
      <c r="AS32" s="49">
        <f t="shared" si="4"/>
        <v>0</v>
      </c>
      <c r="AT32" s="17"/>
    </row>
    <row r="33" spans="2:46" x14ac:dyDescent="0.25">
      <c r="B33" s="8">
        <f t="shared" si="10"/>
        <v>45012</v>
      </c>
      <c r="C33" s="42" t="str">
        <f t="shared" si="1"/>
        <v>Mon</v>
      </c>
      <c r="D33" s="180">
        <v>1</v>
      </c>
      <c r="E33" s="180">
        <v>0.86023399</v>
      </c>
      <c r="F33" s="180">
        <v>0.64515686000000005</v>
      </c>
      <c r="G33" s="382">
        <f t="shared" si="11"/>
        <v>20920.013597500001</v>
      </c>
      <c r="H33" s="390"/>
      <c r="I33" s="363">
        <v>24800</v>
      </c>
      <c r="J33" s="344">
        <f t="shared" si="5"/>
        <v>0</v>
      </c>
      <c r="K33" s="354">
        <v>5304698</v>
      </c>
      <c r="L33" s="348">
        <f>K33-K32</f>
        <v>18361</v>
      </c>
      <c r="M33" s="26"/>
      <c r="N33" s="26"/>
      <c r="O33" s="22"/>
      <c r="P33" s="22"/>
      <c r="Q33" s="21"/>
      <c r="R33" s="22"/>
      <c r="S33" s="21"/>
      <c r="T33" s="109">
        <v>0</v>
      </c>
      <c r="U33" s="109">
        <v>0</v>
      </c>
      <c r="V33" s="107">
        <f t="shared" si="0"/>
        <v>0</v>
      </c>
      <c r="W33" s="109"/>
      <c r="X33" s="103"/>
      <c r="Y33" s="49">
        <f t="shared" si="2"/>
        <v>0</v>
      </c>
      <c r="Z33" s="44">
        <v>0</v>
      </c>
      <c r="AA33" s="44">
        <v>0</v>
      </c>
      <c r="AB33" s="44">
        <v>0</v>
      </c>
      <c r="AC33" s="106"/>
      <c r="AD33" s="247"/>
      <c r="AE33" s="243">
        <f t="shared" si="14"/>
        <v>3483.7999999999997</v>
      </c>
      <c r="AF33" s="243"/>
      <c r="AG33" s="7"/>
      <c r="AH33" s="7">
        <f t="shared" si="6"/>
        <v>0</v>
      </c>
      <c r="AI33" s="84">
        <v>951054</v>
      </c>
      <c r="AJ33" s="76">
        <f t="shared" si="7"/>
        <v>8613</v>
      </c>
      <c r="AK33" s="84">
        <v>117622</v>
      </c>
      <c r="AL33" s="76">
        <f t="shared" si="3"/>
        <v>1174</v>
      </c>
      <c r="AM33" s="76">
        <v>14784</v>
      </c>
      <c r="AN33" s="76">
        <f t="shared" si="8"/>
        <v>0</v>
      </c>
      <c r="AO33" s="76">
        <v>103466</v>
      </c>
      <c r="AP33" s="227">
        <f t="shared" si="13"/>
        <v>0</v>
      </c>
      <c r="AQ33" s="76">
        <v>142915</v>
      </c>
      <c r="AR33" s="227">
        <f t="shared" si="9"/>
        <v>0</v>
      </c>
      <c r="AS33" s="49">
        <f t="shared" si="4"/>
        <v>0</v>
      </c>
      <c r="AT33" s="17"/>
    </row>
    <row r="34" spans="2:46" ht="15" x14ac:dyDescent="0.25">
      <c r="B34" s="8">
        <f t="shared" si="10"/>
        <v>45013</v>
      </c>
      <c r="C34" s="42" t="str">
        <f t="shared" si="1"/>
        <v>Tue</v>
      </c>
      <c r="D34" s="180">
        <v>0.42142960000000002</v>
      </c>
      <c r="E34" s="180">
        <v>0.38731354000000001</v>
      </c>
      <c r="F34" s="180">
        <v>0.20884922</v>
      </c>
      <c r="G34" s="382">
        <f t="shared" si="11"/>
        <v>8496.8962060000013</v>
      </c>
      <c r="H34" s="390"/>
      <c r="I34" s="363">
        <v>25127</v>
      </c>
      <c r="J34" s="344">
        <f t="shared" si="5"/>
        <v>327</v>
      </c>
      <c r="K34" s="355">
        <v>5313144</v>
      </c>
      <c r="L34" s="311">
        <f t="shared" si="12"/>
        <v>8446</v>
      </c>
      <c r="M34" s="26"/>
      <c r="N34" s="26"/>
      <c r="O34" s="22"/>
      <c r="P34" s="22"/>
      <c r="Q34" s="21"/>
      <c r="R34" s="22"/>
      <c r="S34" s="21"/>
      <c r="T34" s="109">
        <v>0</v>
      </c>
      <c r="U34" s="109">
        <v>0</v>
      </c>
      <c r="V34" s="107">
        <f t="shared" si="0"/>
        <v>0</v>
      </c>
      <c r="W34" s="109"/>
      <c r="X34" s="103"/>
      <c r="Y34" s="49">
        <f t="shared" si="2"/>
        <v>0</v>
      </c>
      <c r="Z34" s="44">
        <v>0</v>
      </c>
      <c r="AA34" s="44">
        <v>0</v>
      </c>
      <c r="AB34" s="44">
        <v>0</v>
      </c>
      <c r="AC34" s="106"/>
      <c r="AD34" s="248">
        <v>387.72</v>
      </c>
      <c r="AE34" s="243">
        <f t="shared" si="14"/>
        <v>3871.5199999999995</v>
      </c>
      <c r="AF34" s="243"/>
      <c r="AG34" s="7"/>
      <c r="AH34" s="7">
        <f t="shared" si="6"/>
        <v>0</v>
      </c>
      <c r="AI34" s="84">
        <v>954393</v>
      </c>
      <c r="AJ34" s="76">
        <f t="shared" si="7"/>
        <v>3339</v>
      </c>
      <c r="AK34" s="84">
        <v>117955</v>
      </c>
      <c r="AL34" s="76">
        <f t="shared" si="3"/>
        <v>333</v>
      </c>
      <c r="AM34" s="76">
        <v>14990</v>
      </c>
      <c r="AN34" s="76">
        <f t="shared" si="8"/>
        <v>206</v>
      </c>
      <c r="AO34" s="76">
        <v>103466</v>
      </c>
      <c r="AP34" s="227">
        <f t="shared" si="13"/>
        <v>0</v>
      </c>
      <c r="AQ34" s="76">
        <v>142915</v>
      </c>
      <c r="AR34" s="227">
        <f t="shared" si="9"/>
        <v>0</v>
      </c>
      <c r="AS34" s="49">
        <f t="shared" si="4"/>
        <v>0</v>
      </c>
      <c r="AT34" s="17"/>
    </row>
    <row r="35" spans="2:46" ht="15" x14ac:dyDescent="0.25">
      <c r="B35" s="8">
        <f t="shared" si="10"/>
        <v>45014</v>
      </c>
      <c r="C35" s="42" t="str">
        <f t="shared" si="1"/>
        <v>Wed</v>
      </c>
      <c r="D35" s="180">
        <v>0.42804184000000001</v>
      </c>
      <c r="E35" s="180">
        <v>0.43297722</v>
      </c>
      <c r="F35" s="180">
        <v>0.50008839000000005</v>
      </c>
      <c r="G35" s="382">
        <f t="shared" si="11"/>
        <v>11365.247207500001</v>
      </c>
      <c r="H35" s="390"/>
      <c r="I35" s="363">
        <v>25347</v>
      </c>
      <c r="J35" s="344">
        <f t="shared" si="5"/>
        <v>220</v>
      </c>
      <c r="K35" s="355">
        <v>5324949</v>
      </c>
      <c r="L35" s="311">
        <f t="shared" si="12"/>
        <v>11805</v>
      </c>
      <c r="M35" s="379"/>
      <c r="N35" s="26"/>
      <c r="O35" s="22"/>
      <c r="P35" s="22"/>
      <c r="Q35" s="21"/>
      <c r="R35" s="22"/>
      <c r="S35" s="21"/>
      <c r="T35" s="109">
        <v>0</v>
      </c>
      <c r="U35" s="109">
        <v>0</v>
      </c>
      <c r="V35" s="107">
        <f t="shared" si="0"/>
        <v>0</v>
      </c>
      <c r="W35" s="109"/>
      <c r="X35" s="103"/>
      <c r="Y35" s="49">
        <f t="shared" si="2"/>
        <v>0</v>
      </c>
      <c r="Z35" s="44">
        <v>0</v>
      </c>
      <c r="AA35" s="44">
        <v>0</v>
      </c>
      <c r="AB35" s="44">
        <v>0</v>
      </c>
      <c r="AC35" s="106"/>
      <c r="AD35" s="248">
        <v>288.94</v>
      </c>
      <c r="AE35" s="243">
        <f t="shared" si="14"/>
        <v>4160.4599999999991</v>
      </c>
      <c r="AF35" s="243"/>
      <c r="AG35" s="7"/>
      <c r="AH35" s="7"/>
      <c r="AI35" s="84">
        <v>957757</v>
      </c>
      <c r="AJ35" s="76">
        <f t="shared" si="7"/>
        <v>3364</v>
      </c>
      <c r="AK35" s="84">
        <v>118378</v>
      </c>
      <c r="AL35" s="76">
        <f t="shared" si="3"/>
        <v>423</v>
      </c>
      <c r="AM35" s="76">
        <v>15021</v>
      </c>
      <c r="AN35" s="76">
        <f t="shared" si="8"/>
        <v>31</v>
      </c>
      <c r="AO35" s="76">
        <v>103466</v>
      </c>
      <c r="AP35" s="227"/>
      <c r="AQ35" s="76">
        <v>142915</v>
      </c>
      <c r="AR35" s="227"/>
      <c r="AS35" s="49"/>
      <c r="AT35" s="17"/>
    </row>
    <row r="36" spans="2:46" ht="15" x14ac:dyDescent="0.25">
      <c r="B36" s="8">
        <f t="shared" si="10"/>
        <v>45015</v>
      </c>
      <c r="C36" s="42" t="str">
        <f t="shared" si="1"/>
        <v>Thu</v>
      </c>
      <c r="D36" s="180">
        <v>0.71408371000000004</v>
      </c>
      <c r="E36" s="180">
        <v>0.70524330000000002</v>
      </c>
      <c r="F36" s="180">
        <v>0.57470264000000004</v>
      </c>
      <c r="G36" s="382">
        <f t="shared" si="11"/>
        <v>16650.1475775</v>
      </c>
      <c r="H36" s="390"/>
      <c r="I36" s="363">
        <v>25454</v>
      </c>
      <c r="J36" s="344">
        <f t="shared" si="5"/>
        <v>107</v>
      </c>
      <c r="K36" s="355">
        <v>5341996</v>
      </c>
      <c r="L36" s="311">
        <f t="shared" si="12"/>
        <v>17047</v>
      </c>
      <c r="M36" s="379"/>
      <c r="N36" s="26"/>
      <c r="O36" s="22"/>
      <c r="P36" s="22"/>
      <c r="Q36" s="21"/>
      <c r="R36" s="22"/>
      <c r="S36" s="21"/>
      <c r="T36" s="109">
        <v>0</v>
      </c>
      <c r="U36" s="109">
        <v>0</v>
      </c>
      <c r="V36" s="107">
        <f t="shared" si="0"/>
        <v>0</v>
      </c>
      <c r="W36" s="109"/>
      <c r="X36" s="103"/>
      <c r="Y36" s="49">
        <f t="shared" si="2"/>
        <v>0</v>
      </c>
      <c r="Z36" s="44">
        <v>0</v>
      </c>
      <c r="AA36" s="44">
        <v>0</v>
      </c>
      <c r="AB36" s="44">
        <v>0</v>
      </c>
      <c r="AC36" s="106"/>
      <c r="AD36" s="248">
        <v>375.03</v>
      </c>
      <c r="AE36" s="243">
        <f t="shared" si="14"/>
        <v>4535.4899999999989</v>
      </c>
      <c r="AF36" s="243"/>
      <c r="AG36" s="7"/>
      <c r="AH36" s="7"/>
      <c r="AI36" s="84">
        <v>960023</v>
      </c>
      <c r="AJ36" s="76">
        <f t="shared" si="7"/>
        <v>2266</v>
      </c>
      <c r="AK36" s="84">
        <v>118825</v>
      </c>
      <c r="AL36" s="76">
        <f t="shared" si="3"/>
        <v>447</v>
      </c>
      <c r="AM36" s="76">
        <v>15090</v>
      </c>
      <c r="AN36" s="76">
        <f t="shared" si="8"/>
        <v>69</v>
      </c>
      <c r="AO36" s="76">
        <v>103466</v>
      </c>
      <c r="AP36" s="227"/>
      <c r="AQ36" s="76">
        <v>142915</v>
      </c>
      <c r="AR36" s="227"/>
      <c r="AS36" s="49"/>
      <c r="AT36" s="17"/>
    </row>
    <row r="37" spans="2:46" ht="15" x14ac:dyDescent="0.25">
      <c r="B37" s="8">
        <f t="shared" si="10"/>
        <v>45016</v>
      </c>
      <c r="C37" s="42" t="str">
        <f t="shared" si="1"/>
        <v>Fri</v>
      </c>
      <c r="D37" s="180">
        <v>0.43692276000000002</v>
      </c>
      <c r="E37" s="180">
        <v>0.47835083</v>
      </c>
      <c r="F37" s="180">
        <v>0.67621657999999996</v>
      </c>
      <c r="G37" s="382">
        <f t="shared" si="11"/>
        <v>13288.942919500001</v>
      </c>
      <c r="H37" s="390"/>
      <c r="I37" s="363">
        <v>25657</v>
      </c>
      <c r="J37" s="344">
        <f t="shared" si="5"/>
        <v>203</v>
      </c>
      <c r="K37" s="355">
        <v>5359749</v>
      </c>
      <c r="L37" s="311">
        <f t="shared" si="12"/>
        <v>17753</v>
      </c>
      <c r="M37" s="379"/>
      <c r="N37" s="26"/>
      <c r="O37" s="22"/>
      <c r="P37" s="22"/>
      <c r="Q37" s="21"/>
      <c r="R37" s="22"/>
      <c r="S37" s="21"/>
      <c r="T37" s="109">
        <v>0</v>
      </c>
      <c r="U37" s="109">
        <v>0</v>
      </c>
      <c r="V37" s="107">
        <f t="shared" si="0"/>
        <v>0</v>
      </c>
      <c r="W37" s="109"/>
      <c r="X37" s="103"/>
      <c r="Y37" s="49">
        <f t="shared" si="2"/>
        <v>0</v>
      </c>
      <c r="Z37" s="44">
        <v>0</v>
      </c>
      <c r="AA37" s="44">
        <v>0</v>
      </c>
      <c r="AB37" s="44">
        <v>0</v>
      </c>
      <c r="AC37" s="106"/>
      <c r="AD37" s="248">
        <v>368.38</v>
      </c>
      <c r="AE37" s="243">
        <f t="shared" si="14"/>
        <v>4903.869999999999</v>
      </c>
      <c r="AF37" s="243"/>
      <c r="AG37" s="7"/>
      <c r="AH37" s="7"/>
      <c r="AI37" s="84">
        <v>963286</v>
      </c>
      <c r="AJ37" s="76">
        <f t="shared" si="7"/>
        <v>3263</v>
      </c>
      <c r="AK37" s="84">
        <v>119281</v>
      </c>
      <c r="AL37" s="76">
        <f t="shared" si="3"/>
        <v>456</v>
      </c>
      <c r="AM37" s="76">
        <v>15120</v>
      </c>
      <c r="AN37" s="76">
        <f t="shared" si="8"/>
        <v>30</v>
      </c>
      <c r="AO37" s="76">
        <v>103466</v>
      </c>
      <c r="AP37" s="227"/>
      <c r="AQ37" s="76">
        <v>142915</v>
      </c>
      <c r="AR37" s="227"/>
      <c r="AS37" s="49"/>
      <c r="AT37" s="17"/>
    </row>
    <row r="38" spans="2:46" x14ac:dyDescent="0.25">
      <c r="B38" s="14" t="s">
        <v>48</v>
      </c>
      <c r="C38" s="14"/>
      <c r="D38" s="69">
        <f>AVERAGE(D7:D37)</f>
        <v>0.63211386419354842</v>
      </c>
      <c r="E38" s="69">
        <f>AVERAGE(E7:E37)</f>
        <v>0.62996848258064508</v>
      </c>
      <c r="F38" s="69">
        <f>AVERAGE(F7:F37)</f>
        <v>0.6229812283870968</v>
      </c>
      <c r="G38" s="364"/>
      <c r="H38" s="341" t="e">
        <f>AVERAGE(H7:H34)</f>
        <v>#DIV/0!</v>
      </c>
      <c r="I38" s="365">
        <f>MAX(I7:I37)</f>
        <v>25657</v>
      </c>
      <c r="J38" s="340">
        <f>SUM(J7:J37)</f>
        <v>8971</v>
      </c>
      <c r="K38" s="365">
        <f>MAX(K7:K37)</f>
        <v>5359749</v>
      </c>
      <c r="L38" s="380">
        <f>SUM(L7:L37)</f>
        <v>532720</v>
      </c>
      <c r="M38" s="67"/>
      <c r="N38" s="67"/>
      <c r="O38" s="340">
        <f>SUM(O7:O34)</f>
        <v>0</v>
      </c>
      <c r="P38" s="67"/>
      <c r="Q38" s="65">
        <v>0</v>
      </c>
      <c r="R38" s="67"/>
      <c r="S38" s="65">
        <v>0</v>
      </c>
      <c r="T38" s="65">
        <f t="shared" ref="T38:AC38" si="15">SUM(T7:T34)</f>
        <v>0</v>
      </c>
      <c r="U38" s="65">
        <f t="shared" si="15"/>
        <v>0</v>
      </c>
      <c r="V38" s="65">
        <f t="shared" si="15"/>
        <v>0</v>
      </c>
      <c r="W38" s="65">
        <f t="shared" si="15"/>
        <v>0</v>
      </c>
      <c r="X38" s="65">
        <f t="shared" si="15"/>
        <v>0</v>
      </c>
      <c r="Y38" s="65">
        <f t="shared" si="15"/>
        <v>0</v>
      </c>
      <c r="Z38" s="65">
        <f t="shared" si="15"/>
        <v>0</v>
      </c>
      <c r="AA38" s="65">
        <f t="shared" si="15"/>
        <v>0</v>
      </c>
      <c r="AB38" s="260">
        <f t="shared" si="15"/>
        <v>0</v>
      </c>
      <c r="AC38" s="65">
        <f t="shared" si="15"/>
        <v>0</v>
      </c>
      <c r="AD38" s="99">
        <f>SUM(AD7:AD37)</f>
        <v>4903.869999999999</v>
      </c>
      <c r="AE38" s="11"/>
      <c r="AF38" s="258" t="e">
        <f>AVERAGE(AF7:AF34)</f>
        <v>#DIV/0!</v>
      </c>
      <c r="AG38" s="7"/>
      <c r="AH38" s="68"/>
      <c r="AI38" s="66"/>
      <c r="AJ38" s="65">
        <f>SUM(AJ7:AJ37)</f>
        <v>89133</v>
      </c>
      <c r="AK38" s="99"/>
      <c r="AL38" s="65">
        <f>SUM(AL7:AL37)</f>
        <v>13382</v>
      </c>
      <c r="AM38" s="65"/>
      <c r="AN38" s="65">
        <f>SUM(AN7:AN21)</f>
        <v>681</v>
      </c>
      <c r="AO38" s="67"/>
      <c r="AP38" s="65">
        <f>SUMIFS(AP7:AP34,AP7:AP34,"&gt;0")</f>
        <v>0</v>
      </c>
      <c r="AQ38" s="67"/>
      <c r="AR38" s="65">
        <f>SUMIFS(AR7:AR34,AR7:AR34,"&gt;0")</f>
        <v>0</v>
      </c>
      <c r="AS38" s="65">
        <f>SUM(AS7:AS34)</f>
        <v>0</v>
      </c>
      <c r="AT38" s="5"/>
    </row>
    <row r="39" spans="2:46" x14ac:dyDescent="0.25">
      <c r="H39" s="372"/>
      <c r="J39" s="72" t="s">
        <v>107</v>
      </c>
      <c r="K39" s="63"/>
      <c r="L39" s="347"/>
      <c r="N39" s="374"/>
      <c r="O39" s="347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236"/>
      <c r="AE39" s="63"/>
      <c r="AG39" s="63"/>
      <c r="AH39" s="63"/>
      <c r="AL39" s="63"/>
      <c r="AM39" s="63"/>
      <c r="AN39" s="63"/>
      <c r="AR39" s="63"/>
      <c r="AS39" s="63"/>
    </row>
    <row r="40" spans="2:46" x14ac:dyDescent="0.25">
      <c r="G40" s="81"/>
      <c r="I40" s="88"/>
      <c r="J40" s="87"/>
      <c r="K40" s="88"/>
      <c r="L40" s="88"/>
      <c r="N40" s="374"/>
      <c r="O40" s="89"/>
      <c r="P40" s="89"/>
      <c r="Q40" s="89"/>
      <c r="R40" s="89"/>
      <c r="S40" s="89"/>
      <c r="AD40" s="237"/>
      <c r="AF40" s="85"/>
      <c r="AG40" s="74"/>
      <c r="AI40" s="373"/>
      <c r="AJ40" s="85"/>
      <c r="AK40" s="373"/>
      <c r="AL40" s="63"/>
      <c r="AM40" s="63"/>
      <c r="AN40" s="73"/>
      <c r="AO40" s="89"/>
      <c r="AP40" s="89"/>
      <c r="AR40" s="91"/>
      <c r="AS40" s="91"/>
      <c r="AT40" s="73">
        <f>SUM(AI40:AK40)</f>
        <v>0</v>
      </c>
    </row>
    <row r="41" spans="2:46" x14ac:dyDescent="0.25">
      <c r="C41" s="16"/>
      <c r="J41" s="80"/>
      <c r="K41" s="331" t="s">
        <v>97</v>
      </c>
      <c r="N41" s="374"/>
      <c r="S41" s="331" t="s">
        <v>88</v>
      </c>
      <c r="T41" s="332"/>
      <c r="AF41" s="86"/>
      <c r="AI41" s="86"/>
      <c r="AJ41" s="86"/>
      <c r="AK41" s="86"/>
      <c r="AL41" s="63"/>
      <c r="AM41" s="63"/>
      <c r="AN41" s="73"/>
      <c r="AQ41" s="88"/>
    </row>
    <row r="42" spans="2:46" x14ac:dyDescent="0.25">
      <c r="J42" s="1" t="s">
        <v>107</v>
      </c>
      <c r="K42" s="331" t="s">
        <v>74</v>
      </c>
      <c r="L42" s="347">
        <f>L38</f>
        <v>532720</v>
      </c>
      <c r="S42" s="331" t="s">
        <v>74</v>
      </c>
      <c r="T42" s="333">
        <f>Q38+S38-S32</f>
        <v>0</v>
      </c>
      <c r="AL42" s="63"/>
      <c r="AM42" s="63"/>
      <c r="AN42" s="63"/>
    </row>
    <row r="43" spans="2:46" x14ac:dyDescent="0.25">
      <c r="K43" s="331" t="s">
        <v>75</v>
      </c>
      <c r="L43" s="63">
        <f>Y38</f>
        <v>0</v>
      </c>
      <c r="S43" s="331" t="s">
        <v>75</v>
      </c>
      <c r="T43" s="333">
        <f>AU38</f>
        <v>0</v>
      </c>
      <c r="AL43" s="63"/>
      <c r="AM43" s="63"/>
    </row>
    <row r="44" spans="2:46" x14ac:dyDescent="0.25">
      <c r="L44" s="73"/>
      <c r="S44" s="331" t="s">
        <v>76</v>
      </c>
      <c r="T44" s="331">
        <f>ABS(T42-T43)</f>
        <v>0</v>
      </c>
      <c r="AL44" s="63"/>
      <c r="AM44" s="63"/>
    </row>
    <row r="45" spans="2:46" x14ac:dyDescent="0.25">
      <c r="K45" s="357" t="s">
        <v>102</v>
      </c>
      <c r="L45" s="358">
        <f>L43-L44</f>
        <v>0</v>
      </c>
      <c r="M45" s="1" t="s">
        <v>103</v>
      </c>
      <c r="S45" s="331" t="s">
        <v>77</v>
      </c>
      <c r="T45" s="334"/>
      <c r="AL45" s="63"/>
      <c r="AM45" s="63"/>
    </row>
    <row r="46" spans="2:46" x14ac:dyDescent="0.25">
      <c r="AL46" s="63"/>
      <c r="AM46" s="63"/>
    </row>
    <row r="47" spans="2:46" x14ac:dyDescent="0.25">
      <c r="K47" s="359" t="s">
        <v>104</v>
      </c>
      <c r="L47" s="360">
        <f>L45*13.5</f>
        <v>0</v>
      </c>
      <c r="M47" s="359" t="s">
        <v>105</v>
      </c>
      <c r="AL47" s="63"/>
      <c r="AM47" s="63"/>
    </row>
    <row r="48" spans="2:46" x14ac:dyDescent="0.25">
      <c r="AL48" s="63"/>
      <c r="AM48" s="63"/>
    </row>
    <row r="49" spans="38:39" x14ac:dyDescent="0.25">
      <c r="AL49" s="63"/>
      <c r="AM49" s="63"/>
    </row>
    <row r="50" spans="38:39" x14ac:dyDescent="0.25">
      <c r="AL50" s="63"/>
      <c r="AM50" s="63"/>
    </row>
    <row r="51" spans="38:39" x14ac:dyDescent="0.25">
      <c r="AL51" s="63"/>
      <c r="AM51" s="63"/>
    </row>
    <row r="52" spans="38:39" x14ac:dyDescent="0.25">
      <c r="AL52" s="63"/>
      <c r="AM52" s="63"/>
    </row>
    <row r="53" spans="38:39" x14ac:dyDescent="0.25">
      <c r="AL53" s="63"/>
      <c r="AM53" s="63"/>
    </row>
    <row r="54" spans="38:39" x14ac:dyDescent="0.25">
      <c r="AL54" s="63"/>
      <c r="AM54" s="63"/>
    </row>
    <row r="55" spans="38:39" x14ac:dyDescent="0.25">
      <c r="AL55" s="63"/>
      <c r="AM55" s="63"/>
    </row>
    <row r="56" spans="38:39" x14ac:dyDescent="0.25">
      <c r="AL56" s="63"/>
      <c r="AM56" s="63"/>
    </row>
    <row r="57" spans="38:39" x14ac:dyDescent="0.25">
      <c r="AL57" s="63"/>
      <c r="AM57" s="63"/>
    </row>
    <row r="58" spans="38:39" x14ac:dyDescent="0.25">
      <c r="AL58" s="63"/>
      <c r="AM58" s="63"/>
    </row>
    <row r="59" spans="38:39" x14ac:dyDescent="0.25">
      <c r="AL59" s="63"/>
      <c r="AM59" s="63"/>
    </row>
    <row r="60" spans="38:39" x14ac:dyDescent="0.25">
      <c r="AL60" s="63"/>
      <c r="AM60" s="63"/>
    </row>
    <row r="61" spans="38:39" x14ac:dyDescent="0.25">
      <c r="AL61" s="63"/>
      <c r="AM61" s="63"/>
    </row>
    <row r="62" spans="38:39" x14ac:dyDescent="0.25">
      <c r="AL62" s="63"/>
      <c r="AM62" s="63"/>
    </row>
    <row r="63" spans="38:39" x14ac:dyDescent="0.25">
      <c r="AL63" s="63"/>
      <c r="AM63" s="63"/>
    </row>
    <row r="64" spans="38:39" x14ac:dyDescent="0.25">
      <c r="AL64" s="63"/>
    </row>
    <row r="65" spans="38:38" x14ac:dyDescent="0.25">
      <c r="AL65" s="63"/>
    </row>
    <row r="66" spans="38:38" x14ac:dyDescent="0.25">
      <c r="AL66" s="63"/>
    </row>
    <row r="67" spans="38:38" x14ac:dyDescent="0.25">
      <c r="AL67" s="63"/>
    </row>
    <row r="68" spans="38:38" x14ac:dyDescent="0.25">
      <c r="AL68" s="63"/>
    </row>
  </sheetData>
  <mergeCells count="28">
    <mergeCell ref="AI5:AJ5"/>
    <mergeCell ref="AK5:AL5"/>
    <mergeCell ref="AM5:AN5"/>
    <mergeCell ref="AO5:AP5"/>
    <mergeCell ref="AQ5:AR5"/>
    <mergeCell ref="AG5:AH5"/>
    <mergeCell ref="P4:Q5"/>
    <mergeCell ref="R4:S5"/>
    <mergeCell ref="T4:V4"/>
    <mergeCell ref="W4:Y4"/>
    <mergeCell ref="Z4:AA4"/>
    <mergeCell ref="AB4:AC4"/>
    <mergeCell ref="B3:AC3"/>
    <mergeCell ref="AD3:AF3"/>
    <mergeCell ref="AG3:AH3"/>
    <mergeCell ref="AI3:AN4"/>
    <mergeCell ref="AT3:AT6"/>
    <mergeCell ref="B4:B6"/>
    <mergeCell ref="C4:C6"/>
    <mergeCell ref="D4:G4"/>
    <mergeCell ref="I4:L4"/>
    <mergeCell ref="M4:O4"/>
    <mergeCell ref="AD4:AF4"/>
    <mergeCell ref="AG4:AH4"/>
    <mergeCell ref="I5:J5"/>
    <mergeCell ref="K5:L5"/>
    <mergeCell ref="M5:N5"/>
    <mergeCell ref="AD5:AE5"/>
  </mergeCells>
  <pageMargins left="0" right="0" top="0.35433070866141736" bottom="0" header="0.31496062992125984" footer="0.31496062992125984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F5B28-6513-4BC9-BB1D-E32EB173FF42}">
  <dimension ref="A1:Z36"/>
  <sheetViews>
    <sheetView zoomScale="67" zoomScaleNormal="67" workbookViewId="0">
      <selection activeCell="Q27" sqref="Q27"/>
    </sheetView>
  </sheetViews>
  <sheetFormatPr defaultRowHeight="14.4" x14ac:dyDescent="0.3"/>
  <cols>
    <col min="1" max="1" width="15.6640625" bestFit="1" customWidth="1"/>
    <col min="2" max="12" width="16.44140625" customWidth="1"/>
    <col min="13" max="13" width="16.44140625" hidden="1" customWidth="1"/>
    <col min="14" max="14" width="16.44140625" customWidth="1"/>
    <col min="16" max="16" width="10.88671875" bestFit="1" customWidth="1"/>
    <col min="17" max="17" width="11.5546875" bestFit="1" customWidth="1"/>
    <col min="18" max="18" width="11.109375" bestFit="1" customWidth="1"/>
    <col min="19" max="19" width="11" bestFit="1" customWidth="1"/>
  </cols>
  <sheetData>
    <row r="1" spans="1:26" x14ac:dyDescent="0.3">
      <c r="A1" s="509" t="s">
        <v>6</v>
      </c>
      <c r="B1" s="512" t="s">
        <v>27</v>
      </c>
      <c r="C1" s="507" t="s">
        <v>24</v>
      </c>
      <c r="D1" s="503" t="s">
        <v>153</v>
      </c>
      <c r="E1" s="505" t="s">
        <v>154</v>
      </c>
      <c r="F1" s="512" t="s">
        <v>108</v>
      </c>
      <c r="G1" s="512"/>
      <c r="H1" s="512"/>
      <c r="I1" s="507" t="s">
        <v>109</v>
      </c>
      <c r="J1" s="503" t="s">
        <v>110</v>
      </c>
      <c r="K1" s="503" t="s">
        <v>111</v>
      </c>
      <c r="L1" s="503" t="s">
        <v>112</v>
      </c>
      <c r="M1" s="503" t="s">
        <v>113</v>
      </c>
      <c r="N1" s="513" t="s">
        <v>114</v>
      </c>
    </row>
    <row r="2" spans="1:26" x14ac:dyDescent="0.3">
      <c r="A2" s="510"/>
      <c r="B2" s="472"/>
      <c r="C2" s="508"/>
      <c r="D2" s="504"/>
      <c r="E2" s="506"/>
      <c r="F2" s="472"/>
      <c r="G2" s="472"/>
      <c r="H2" s="472"/>
      <c r="I2" s="508"/>
      <c r="J2" s="504"/>
      <c r="K2" s="504"/>
      <c r="L2" s="504"/>
      <c r="M2" s="504"/>
      <c r="N2" s="514"/>
      <c r="S2" s="448"/>
    </row>
    <row r="3" spans="1:26" x14ac:dyDescent="0.3">
      <c r="A3" s="511"/>
      <c r="B3" s="472"/>
      <c r="C3" s="467"/>
      <c r="D3" s="498"/>
      <c r="E3" s="468"/>
      <c r="F3" s="43" t="s">
        <v>115</v>
      </c>
      <c r="G3" s="43" t="s">
        <v>116</v>
      </c>
      <c r="H3" s="43" t="s">
        <v>117</v>
      </c>
      <c r="I3" s="467"/>
      <c r="J3" s="498"/>
      <c r="K3" s="498"/>
      <c r="L3" s="498"/>
      <c r="M3" s="498"/>
      <c r="N3" s="515"/>
      <c r="R3" s="449"/>
      <c r="S3" s="448"/>
      <c r="W3" s="450"/>
      <c r="X3" s="450"/>
      <c r="Y3" s="450"/>
    </row>
    <row r="4" spans="1:26" x14ac:dyDescent="0.3">
      <c r="A4" s="433" t="s">
        <v>118</v>
      </c>
      <c r="B4" s="430"/>
      <c r="C4" s="429"/>
      <c r="D4" s="429"/>
      <c r="E4" s="432"/>
      <c r="F4" s="422"/>
      <c r="G4" s="422"/>
      <c r="H4" s="422"/>
      <c r="I4" s="429"/>
      <c r="J4" s="430"/>
      <c r="K4" s="447"/>
      <c r="L4" s="428"/>
      <c r="M4" s="430"/>
      <c r="N4" s="431"/>
      <c r="X4" s="450"/>
      <c r="Y4" s="450"/>
      <c r="Z4" s="450"/>
    </row>
    <row r="5" spans="1:26" x14ac:dyDescent="0.3">
      <c r="A5" s="434">
        <v>45962</v>
      </c>
      <c r="B5" s="435"/>
      <c r="C5" s="436"/>
      <c r="D5" s="436"/>
      <c r="E5" s="436"/>
      <c r="F5" s="436"/>
      <c r="G5" s="436"/>
      <c r="H5" s="436"/>
      <c r="I5" s="436"/>
      <c r="J5" s="436">
        <f>SUM(B5:F5)-G5+H5+I5</f>
        <v>0</v>
      </c>
      <c r="K5" s="436"/>
      <c r="L5" s="436">
        <f>K5-K4</f>
        <v>0</v>
      </c>
      <c r="M5" s="436"/>
      <c r="N5" s="437">
        <f>J5+L5</f>
        <v>0</v>
      </c>
      <c r="P5" s="451"/>
      <c r="Q5" s="452"/>
      <c r="R5" s="451"/>
      <c r="S5" s="451"/>
      <c r="X5" s="450"/>
      <c r="Y5" s="450"/>
      <c r="Z5" s="450"/>
    </row>
    <row r="6" spans="1:26" x14ac:dyDescent="0.3">
      <c r="A6" s="434">
        <v>45963</v>
      </c>
      <c r="B6" s="436"/>
      <c r="C6" s="436"/>
      <c r="D6" s="436"/>
      <c r="E6" s="436"/>
      <c r="F6" s="436"/>
      <c r="G6" s="436"/>
      <c r="H6" s="436"/>
      <c r="I6" s="436"/>
      <c r="J6" s="436">
        <f t="shared" ref="J6:J35" si="0">SUM(B6:F6)-G6+H6+I6</f>
        <v>0</v>
      </c>
      <c r="K6" s="436"/>
      <c r="L6" s="436">
        <f t="shared" ref="L6:L35" si="1">K6-K5</f>
        <v>0</v>
      </c>
      <c r="M6" s="436"/>
      <c r="N6" s="437">
        <f t="shared" ref="N6:N35" si="2">J6+L6</f>
        <v>0</v>
      </c>
      <c r="P6" s="451"/>
      <c r="Q6" s="452"/>
      <c r="R6" s="451"/>
      <c r="S6" s="451"/>
      <c r="X6" s="450"/>
      <c r="Y6" s="450"/>
      <c r="Z6" s="450"/>
    </row>
    <row r="7" spans="1:26" x14ac:dyDescent="0.3">
      <c r="A7" s="434">
        <v>45964</v>
      </c>
      <c r="B7" s="436"/>
      <c r="C7" s="436"/>
      <c r="D7" s="436"/>
      <c r="E7" s="436"/>
      <c r="F7" s="436"/>
      <c r="G7" s="436"/>
      <c r="H7" s="436"/>
      <c r="I7" s="436"/>
      <c r="J7" s="436">
        <f t="shared" si="0"/>
        <v>0</v>
      </c>
      <c r="K7" s="436"/>
      <c r="L7" s="436">
        <f t="shared" si="1"/>
        <v>0</v>
      </c>
      <c r="M7" s="436"/>
      <c r="N7" s="437">
        <f t="shared" si="2"/>
        <v>0</v>
      </c>
      <c r="P7" s="451"/>
      <c r="Q7" s="452"/>
      <c r="R7" s="451"/>
      <c r="S7" s="451"/>
      <c r="X7" s="450"/>
      <c r="Y7" s="450"/>
      <c r="Z7" s="450"/>
    </row>
    <row r="8" spans="1:26" x14ac:dyDescent="0.3">
      <c r="A8" s="434">
        <v>45965</v>
      </c>
      <c r="B8" s="436"/>
      <c r="C8" s="436"/>
      <c r="D8" s="436"/>
      <c r="E8" s="436"/>
      <c r="F8" s="436"/>
      <c r="G8" s="436"/>
      <c r="H8" s="436"/>
      <c r="I8" s="436"/>
      <c r="J8" s="436">
        <f t="shared" si="0"/>
        <v>0</v>
      </c>
      <c r="K8" s="436"/>
      <c r="L8" s="436">
        <f t="shared" si="1"/>
        <v>0</v>
      </c>
      <c r="M8" s="436"/>
      <c r="N8" s="437">
        <f t="shared" si="2"/>
        <v>0</v>
      </c>
      <c r="P8" s="451"/>
      <c r="Q8" s="452"/>
      <c r="R8" s="451"/>
      <c r="S8" s="451"/>
      <c r="X8" s="450"/>
      <c r="Y8" s="450"/>
      <c r="Z8" s="450"/>
    </row>
    <row r="9" spans="1:26" x14ac:dyDescent="0.3">
      <c r="A9" s="434">
        <v>45966</v>
      </c>
      <c r="B9" s="436"/>
      <c r="C9" s="436"/>
      <c r="D9" s="436"/>
      <c r="E9" s="436"/>
      <c r="F9" s="436"/>
      <c r="G9" s="436"/>
      <c r="H9" s="436"/>
      <c r="I9" s="436"/>
      <c r="J9" s="436">
        <f t="shared" si="0"/>
        <v>0</v>
      </c>
      <c r="K9" s="436"/>
      <c r="L9" s="436">
        <f t="shared" si="1"/>
        <v>0</v>
      </c>
      <c r="M9" s="436"/>
      <c r="N9" s="437">
        <f t="shared" si="2"/>
        <v>0</v>
      </c>
      <c r="P9" s="451"/>
      <c r="Q9" s="452"/>
      <c r="R9" s="451"/>
      <c r="S9" s="451"/>
      <c r="X9" s="450"/>
      <c r="Y9" s="450"/>
      <c r="Z9" s="450"/>
    </row>
    <row r="10" spans="1:26" x14ac:dyDescent="0.3">
      <c r="A10" s="434">
        <v>45967</v>
      </c>
      <c r="B10" s="436"/>
      <c r="C10" s="436"/>
      <c r="D10" s="436"/>
      <c r="E10" s="436"/>
      <c r="F10" s="436"/>
      <c r="G10" s="436"/>
      <c r="H10" s="436"/>
      <c r="I10" s="436"/>
      <c r="J10" s="436">
        <f t="shared" si="0"/>
        <v>0</v>
      </c>
      <c r="K10" s="436"/>
      <c r="L10" s="436">
        <f t="shared" si="1"/>
        <v>0</v>
      </c>
      <c r="M10" s="436"/>
      <c r="N10" s="437">
        <f t="shared" si="2"/>
        <v>0</v>
      </c>
      <c r="P10" s="451"/>
      <c r="Q10" s="452"/>
      <c r="R10" s="451"/>
      <c r="S10" s="451"/>
      <c r="X10" s="450"/>
      <c r="Y10" s="450"/>
      <c r="Z10" s="450"/>
    </row>
    <row r="11" spans="1:26" x14ac:dyDescent="0.3">
      <c r="A11" s="434">
        <v>45968</v>
      </c>
      <c r="B11" s="436"/>
      <c r="C11" s="436"/>
      <c r="D11" s="436"/>
      <c r="E11" s="436"/>
      <c r="F11" s="436"/>
      <c r="G11" s="436"/>
      <c r="H11" s="436"/>
      <c r="I11" s="436"/>
      <c r="J11" s="436">
        <f t="shared" si="0"/>
        <v>0</v>
      </c>
      <c r="K11" s="436"/>
      <c r="L11" s="436">
        <f t="shared" si="1"/>
        <v>0</v>
      </c>
      <c r="M11" s="436"/>
      <c r="N11" s="437">
        <f t="shared" si="2"/>
        <v>0</v>
      </c>
      <c r="P11" s="451"/>
      <c r="Q11" s="452"/>
      <c r="R11" s="453"/>
      <c r="S11" s="451"/>
      <c r="X11" s="450"/>
      <c r="Y11" s="450"/>
      <c r="Z11" s="450"/>
    </row>
    <row r="12" spans="1:26" x14ac:dyDescent="0.3">
      <c r="A12" s="434">
        <v>45969</v>
      </c>
      <c r="B12" s="436"/>
      <c r="C12" s="436"/>
      <c r="D12" s="436"/>
      <c r="E12" s="436"/>
      <c r="F12" s="436"/>
      <c r="G12" s="436"/>
      <c r="H12" s="436"/>
      <c r="I12" s="436"/>
      <c r="J12" s="436">
        <f t="shared" si="0"/>
        <v>0</v>
      </c>
      <c r="K12" s="436"/>
      <c r="L12" s="436">
        <f t="shared" si="1"/>
        <v>0</v>
      </c>
      <c r="M12" s="436"/>
      <c r="N12" s="437">
        <f t="shared" si="2"/>
        <v>0</v>
      </c>
      <c r="P12" s="449"/>
      <c r="Q12" s="448"/>
      <c r="X12" s="450"/>
      <c r="Y12" s="450"/>
      <c r="Z12" s="450"/>
    </row>
    <row r="13" spans="1:26" x14ac:dyDescent="0.3">
      <c r="A13" s="434">
        <v>45970</v>
      </c>
      <c r="B13" s="436"/>
      <c r="C13" s="436"/>
      <c r="D13" s="436"/>
      <c r="E13" s="436"/>
      <c r="F13" s="436"/>
      <c r="G13" s="436"/>
      <c r="H13" s="436"/>
      <c r="I13" s="436"/>
      <c r="J13" s="436">
        <f t="shared" si="0"/>
        <v>0</v>
      </c>
      <c r="K13" s="436"/>
      <c r="L13" s="436">
        <f t="shared" si="1"/>
        <v>0</v>
      </c>
      <c r="M13" s="436"/>
      <c r="N13" s="437">
        <f t="shared" si="2"/>
        <v>0</v>
      </c>
      <c r="P13" s="449"/>
      <c r="Q13" s="448"/>
      <c r="X13" s="450"/>
      <c r="Y13" s="450"/>
      <c r="Z13" s="450"/>
    </row>
    <row r="14" spans="1:26" x14ac:dyDescent="0.3">
      <c r="A14" s="434">
        <v>45971</v>
      </c>
      <c r="B14" s="436"/>
      <c r="C14" s="436"/>
      <c r="D14" s="436"/>
      <c r="E14" s="436"/>
      <c r="F14" s="436"/>
      <c r="G14" s="436"/>
      <c r="H14" s="436"/>
      <c r="I14" s="436"/>
      <c r="J14" s="436">
        <f t="shared" si="0"/>
        <v>0</v>
      </c>
      <c r="K14" s="436"/>
      <c r="L14" s="436">
        <f t="shared" si="1"/>
        <v>0</v>
      </c>
      <c r="M14" s="436"/>
      <c r="N14" s="437">
        <f t="shared" si="2"/>
        <v>0</v>
      </c>
      <c r="P14" s="449"/>
      <c r="Q14" s="448"/>
      <c r="X14" s="450"/>
      <c r="Y14" s="450"/>
      <c r="Z14" s="450"/>
    </row>
    <row r="15" spans="1:26" x14ac:dyDescent="0.3">
      <c r="A15" s="434">
        <v>45972</v>
      </c>
      <c r="B15" s="436"/>
      <c r="C15" s="436"/>
      <c r="D15" s="436"/>
      <c r="E15" s="436"/>
      <c r="F15" s="436"/>
      <c r="G15" s="436"/>
      <c r="H15" s="436"/>
      <c r="I15" s="436"/>
      <c r="J15" s="436">
        <f t="shared" si="0"/>
        <v>0</v>
      </c>
      <c r="K15" s="436"/>
      <c r="L15" s="436">
        <f t="shared" si="1"/>
        <v>0</v>
      </c>
      <c r="M15" s="436"/>
      <c r="N15" s="437">
        <f t="shared" si="2"/>
        <v>0</v>
      </c>
      <c r="P15" s="449"/>
      <c r="Q15" s="448"/>
      <c r="X15" s="450"/>
      <c r="Y15" s="450"/>
      <c r="Z15" s="450"/>
    </row>
    <row r="16" spans="1:26" x14ac:dyDescent="0.3">
      <c r="A16" s="434">
        <v>45973</v>
      </c>
      <c r="B16" s="436"/>
      <c r="C16" s="436"/>
      <c r="D16" s="436"/>
      <c r="E16" s="436"/>
      <c r="F16" s="436"/>
      <c r="G16" s="436"/>
      <c r="H16" s="436"/>
      <c r="I16" s="436"/>
      <c r="J16" s="436">
        <f t="shared" si="0"/>
        <v>0</v>
      </c>
      <c r="K16" s="436"/>
      <c r="L16" s="436">
        <f t="shared" si="1"/>
        <v>0</v>
      </c>
      <c r="M16" s="436"/>
      <c r="N16" s="437">
        <f t="shared" si="2"/>
        <v>0</v>
      </c>
      <c r="P16" s="449"/>
      <c r="Q16" s="448"/>
      <c r="X16" s="450"/>
      <c r="Y16" s="450"/>
      <c r="Z16" s="450"/>
    </row>
    <row r="17" spans="1:26" x14ac:dyDescent="0.3">
      <c r="A17" s="434">
        <v>45974</v>
      </c>
      <c r="B17" s="436"/>
      <c r="C17" s="436"/>
      <c r="D17" s="436"/>
      <c r="E17" s="436"/>
      <c r="F17" s="436"/>
      <c r="G17" s="436"/>
      <c r="H17" s="436"/>
      <c r="I17" s="436"/>
      <c r="J17" s="436">
        <f t="shared" si="0"/>
        <v>0</v>
      </c>
      <c r="K17" s="436"/>
      <c r="L17" s="436">
        <f t="shared" si="1"/>
        <v>0</v>
      </c>
      <c r="M17" s="436"/>
      <c r="N17" s="437">
        <f t="shared" si="2"/>
        <v>0</v>
      </c>
      <c r="P17" s="449"/>
      <c r="Q17" s="448"/>
      <c r="X17" s="450"/>
      <c r="Y17" s="450"/>
      <c r="Z17" s="450"/>
    </row>
    <row r="18" spans="1:26" x14ac:dyDescent="0.3">
      <c r="A18" s="434">
        <v>45975</v>
      </c>
      <c r="B18" s="436"/>
      <c r="C18" s="436"/>
      <c r="D18" s="436"/>
      <c r="E18" s="436"/>
      <c r="F18" s="436"/>
      <c r="G18" s="436"/>
      <c r="H18" s="436"/>
      <c r="I18" s="436"/>
      <c r="J18" s="436">
        <f t="shared" si="0"/>
        <v>0</v>
      </c>
      <c r="K18" s="436"/>
      <c r="L18" s="436">
        <f t="shared" si="1"/>
        <v>0</v>
      </c>
      <c r="M18" s="436"/>
      <c r="N18" s="437">
        <f t="shared" si="2"/>
        <v>0</v>
      </c>
      <c r="P18" s="449"/>
      <c r="Q18" s="448"/>
      <c r="X18" s="450"/>
      <c r="Y18" s="450"/>
      <c r="Z18" s="450"/>
    </row>
    <row r="19" spans="1:26" x14ac:dyDescent="0.3">
      <c r="A19" s="434">
        <v>45976</v>
      </c>
      <c r="B19" s="436"/>
      <c r="C19" s="436"/>
      <c r="D19" s="436"/>
      <c r="E19" s="436"/>
      <c r="F19" s="436"/>
      <c r="G19" s="436"/>
      <c r="H19" s="436"/>
      <c r="I19" s="436"/>
      <c r="J19" s="436">
        <f t="shared" si="0"/>
        <v>0</v>
      </c>
      <c r="K19" s="436"/>
      <c r="L19" s="436">
        <f t="shared" si="1"/>
        <v>0</v>
      </c>
      <c r="M19" s="436"/>
      <c r="N19" s="437">
        <f t="shared" si="2"/>
        <v>0</v>
      </c>
      <c r="P19" s="449"/>
      <c r="Q19" s="448"/>
      <c r="X19" s="450"/>
      <c r="Y19" s="450"/>
      <c r="Z19" s="450"/>
    </row>
    <row r="20" spans="1:26" x14ac:dyDescent="0.3">
      <c r="A20" s="434">
        <v>45977</v>
      </c>
      <c r="B20" s="436"/>
      <c r="C20" s="436"/>
      <c r="D20" s="436"/>
      <c r="E20" s="436"/>
      <c r="F20" s="436"/>
      <c r="G20" s="436"/>
      <c r="H20" s="436"/>
      <c r="I20" s="436"/>
      <c r="J20" s="436">
        <f t="shared" si="0"/>
        <v>0</v>
      </c>
      <c r="K20" s="436"/>
      <c r="L20" s="436">
        <f t="shared" si="1"/>
        <v>0</v>
      </c>
      <c r="M20" s="436"/>
      <c r="N20" s="437">
        <f t="shared" si="2"/>
        <v>0</v>
      </c>
      <c r="P20" s="449"/>
      <c r="Q20" s="448"/>
      <c r="X20" s="450"/>
      <c r="Y20" s="450"/>
      <c r="Z20" s="450"/>
    </row>
    <row r="21" spans="1:26" x14ac:dyDescent="0.3">
      <c r="A21" s="434">
        <v>45978</v>
      </c>
      <c r="B21" s="436"/>
      <c r="C21" s="436"/>
      <c r="D21" s="436"/>
      <c r="E21" s="436"/>
      <c r="F21" s="436"/>
      <c r="G21" s="436"/>
      <c r="H21" s="436"/>
      <c r="I21" s="436"/>
      <c r="J21" s="436">
        <f t="shared" si="0"/>
        <v>0</v>
      </c>
      <c r="K21" s="436"/>
      <c r="L21" s="436">
        <f t="shared" si="1"/>
        <v>0</v>
      </c>
      <c r="M21" s="436"/>
      <c r="N21" s="437">
        <f t="shared" si="2"/>
        <v>0</v>
      </c>
      <c r="P21" s="449"/>
      <c r="Q21" s="448"/>
      <c r="X21" s="450"/>
      <c r="Y21" s="450"/>
      <c r="Z21" s="450"/>
    </row>
    <row r="22" spans="1:26" x14ac:dyDescent="0.3">
      <c r="A22" s="434">
        <v>45979</v>
      </c>
      <c r="B22" s="436"/>
      <c r="C22" s="436"/>
      <c r="D22" s="436"/>
      <c r="E22" s="436"/>
      <c r="F22" s="436"/>
      <c r="G22" s="436"/>
      <c r="H22" s="436"/>
      <c r="I22" s="436"/>
      <c r="J22" s="436">
        <f t="shared" si="0"/>
        <v>0</v>
      </c>
      <c r="K22" s="436"/>
      <c r="L22" s="436">
        <f t="shared" si="1"/>
        <v>0</v>
      </c>
      <c r="M22" s="436"/>
      <c r="N22" s="437">
        <f t="shared" si="2"/>
        <v>0</v>
      </c>
      <c r="P22" s="449"/>
      <c r="Q22" s="448"/>
      <c r="X22" s="450"/>
      <c r="Y22" s="450"/>
      <c r="Z22" s="450"/>
    </row>
    <row r="23" spans="1:26" x14ac:dyDescent="0.3">
      <c r="A23" s="434">
        <v>45980</v>
      </c>
      <c r="B23" s="212"/>
      <c r="C23" s="436"/>
      <c r="D23" s="436"/>
      <c r="E23" s="436"/>
      <c r="F23" s="436"/>
      <c r="G23" s="436"/>
      <c r="H23" s="436"/>
      <c r="I23" s="436"/>
      <c r="J23" s="436">
        <f t="shared" si="0"/>
        <v>0</v>
      </c>
      <c r="K23" s="436"/>
      <c r="L23" s="436">
        <f t="shared" si="1"/>
        <v>0</v>
      </c>
      <c r="M23" s="436"/>
      <c r="N23" s="437">
        <f t="shared" si="2"/>
        <v>0</v>
      </c>
      <c r="P23" s="449"/>
      <c r="Q23" s="448"/>
      <c r="X23" s="450"/>
      <c r="Y23" s="450"/>
      <c r="Z23" s="450"/>
    </row>
    <row r="24" spans="1:26" x14ac:dyDescent="0.3">
      <c r="A24" s="434">
        <v>45981</v>
      </c>
      <c r="B24" s="212"/>
      <c r="C24" s="436"/>
      <c r="D24" s="436"/>
      <c r="E24" s="436"/>
      <c r="F24" s="436"/>
      <c r="G24" s="436"/>
      <c r="H24" s="436"/>
      <c r="I24" s="436"/>
      <c r="J24" s="436">
        <f t="shared" si="0"/>
        <v>0</v>
      </c>
      <c r="K24" s="436"/>
      <c r="L24" s="436">
        <f t="shared" si="1"/>
        <v>0</v>
      </c>
      <c r="M24" s="436"/>
      <c r="N24" s="437">
        <f t="shared" si="2"/>
        <v>0</v>
      </c>
      <c r="Q24" s="448"/>
      <c r="X24" s="450"/>
      <c r="Y24" s="450"/>
      <c r="Z24" s="450"/>
    </row>
    <row r="25" spans="1:26" x14ac:dyDescent="0.3">
      <c r="A25" s="434">
        <v>45982</v>
      </c>
      <c r="B25" s="212"/>
      <c r="C25" s="436"/>
      <c r="D25" s="436"/>
      <c r="E25" s="436"/>
      <c r="F25" s="436"/>
      <c r="G25" s="436"/>
      <c r="H25" s="436"/>
      <c r="I25" s="436"/>
      <c r="J25" s="436">
        <f t="shared" si="0"/>
        <v>0</v>
      </c>
      <c r="K25" s="436"/>
      <c r="L25" s="436">
        <f t="shared" si="1"/>
        <v>0</v>
      </c>
      <c r="M25" s="436"/>
      <c r="N25" s="437">
        <f t="shared" si="2"/>
        <v>0</v>
      </c>
      <c r="Q25" s="448"/>
      <c r="X25" s="450"/>
      <c r="Y25" s="450"/>
      <c r="Z25" s="450"/>
    </row>
    <row r="26" spans="1:26" x14ac:dyDescent="0.3">
      <c r="A26" s="434">
        <v>45983</v>
      </c>
      <c r="B26" s="212"/>
      <c r="C26" s="436"/>
      <c r="D26" s="436"/>
      <c r="E26" s="436"/>
      <c r="F26" s="436"/>
      <c r="G26" s="436"/>
      <c r="H26" s="436"/>
      <c r="I26" s="436"/>
      <c r="J26" s="436">
        <f t="shared" si="0"/>
        <v>0</v>
      </c>
      <c r="K26" s="436"/>
      <c r="L26" s="436">
        <f t="shared" si="1"/>
        <v>0</v>
      </c>
      <c r="M26" s="436"/>
      <c r="N26" s="437">
        <f t="shared" si="2"/>
        <v>0</v>
      </c>
      <c r="Q26" s="448"/>
      <c r="X26" s="450"/>
      <c r="Y26" s="450"/>
      <c r="Z26" s="450"/>
    </row>
    <row r="27" spans="1:26" x14ac:dyDescent="0.3">
      <c r="A27" s="434">
        <v>45984</v>
      </c>
      <c r="B27" s="212"/>
      <c r="C27" s="436"/>
      <c r="D27" s="436"/>
      <c r="E27" s="436"/>
      <c r="F27" s="436"/>
      <c r="G27" s="436"/>
      <c r="H27" s="436"/>
      <c r="I27" s="436"/>
      <c r="J27" s="436">
        <f t="shared" si="0"/>
        <v>0</v>
      </c>
      <c r="K27" s="436"/>
      <c r="L27" s="436">
        <f t="shared" si="1"/>
        <v>0</v>
      </c>
      <c r="M27" s="436"/>
      <c r="N27" s="437">
        <f t="shared" si="2"/>
        <v>0</v>
      </c>
      <c r="Q27" s="448"/>
      <c r="X27" s="450"/>
      <c r="Y27" s="450"/>
      <c r="Z27" s="450"/>
    </row>
    <row r="28" spans="1:26" x14ac:dyDescent="0.3">
      <c r="A28" s="434">
        <v>45985</v>
      </c>
      <c r="B28" s="212"/>
      <c r="C28" s="436"/>
      <c r="D28" s="436"/>
      <c r="E28" s="436"/>
      <c r="F28" s="436"/>
      <c r="G28" s="436"/>
      <c r="H28" s="436"/>
      <c r="I28" s="436"/>
      <c r="J28" s="436">
        <f t="shared" si="0"/>
        <v>0</v>
      </c>
      <c r="K28" s="436"/>
      <c r="L28" s="436">
        <f t="shared" si="1"/>
        <v>0</v>
      </c>
      <c r="M28" s="436"/>
      <c r="N28" s="437">
        <f t="shared" si="2"/>
        <v>0</v>
      </c>
      <c r="Q28" s="448"/>
      <c r="X28" s="450"/>
      <c r="Y28" s="450"/>
      <c r="Z28" s="450"/>
    </row>
    <row r="29" spans="1:26" x14ac:dyDescent="0.3">
      <c r="A29" s="434">
        <v>45986</v>
      </c>
      <c r="B29" s="212"/>
      <c r="C29" s="436"/>
      <c r="D29" s="436"/>
      <c r="E29" s="436"/>
      <c r="F29" s="436"/>
      <c r="G29" s="436"/>
      <c r="H29" s="436"/>
      <c r="I29" s="436"/>
      <c r="J29" s="436">
        <f t="shared" si="0"/>
        <v>0</v>
      </c>
      <c r="K29" s="436"/>
      <c r="L29" s="436">
        <f t="shared" si="1"/>
        <v>0</v>
      </c>
      <c r="M29" s="436"/>
      <c r="N29" s="437">
        <f t="shared" si="2"/>
        <v>0</v>
      </c>
      <c r="Q29" s="448"/>
      <c r="X29" s="450"/>
      <c r="Y29" s="450"/>
      <c r="Z29" s="450"/>
    </row>
    <row r="30" spans="1:26" x14ac:dyDescent="0.3">
      <c r="A30" s="434">
        <v>45987</v>
      </c>
      <c r="B30" s="212"/>
      <c r="C30" s="436"/>
      <c r="D30" s="436"/>
      <c r="E30" s="436"/>
      <c r="F30" s="436"/>
      <c r="G30" s="436"/>
      <c r="H30" s="436"/>
      <c r="I30" s="436"/>
      <c r="J30" s="436">
        <f t="shared" si="0"/>
        <v>0</v>
      </c>
      <c r="K30" s="436"/>
      <c r="L30" s="436">
        <f t="shared" si="1"/>
        <v>0</v>
      </c>
      <c r="M30" s="436"/>
      <c r="N30" s="437">
        <f t="shared" si="2"/>
        <v>0</v>
      </c>
      <c r="Q30" s="448"/>
      <c r="X30" s="450"/>
      <c r="Y30" s="450"/>
      <c r="Z30" s="450"/>
    </row>
    <row r="31" spans="1:26" x14ac:dyDescent="0.3">
      <c r="A31" s="434">
        <v>45988</v>
      </c>
      <c r="B31" s="212"/>
      <c r="C31" s="436"/>
      <c r="D31" s="436"/>
      <c r="E31" s="436"/>
      <c r="F31" s="436"/>
      <c r="G31" s="436"/>
      <c r="H31" s="436"/>
      <c r="I31" s="436"/>
      <c r="J31" s="436">
        <f t="shared" si="0"/>
        <v>0</v>
      </c>
      <c r="K31" s="436"/>
      <c r="L31" s="436">
        <f t="shared" si="1"/>
        <v>0</v>
      </c>
      <c r="M31" s="436"/>
      <c r="N31" s="437">
        <f t="shared" si="2"/>
        <v>0</v>
      </c>
      <c r="Q31" s="448"/>
      <c r="X31" s="450"/>
      <c r="Y31" s="450"/>
      <c r="Z31" s="450"/>
    </row>
    <row r="32" spans="1:26" x14ac:dyDescent="0.3">
      <c r="A32" s="434">
        <v>45989</v>
      </c>
      <c r="B32" s="212"/>
      <c r="C32" s="436"/>
      <c r="D32" s="436"/>
      <c r="E32" s="436"/>
      <c r="F32" s="436"/>
      <c r="G32" s="436"/>
      <c r="H32" s="436"/>
      <c r="I32" s="436"/>
      <c r="J32" s="436">
        <f t="shared" si="0"/>
        <v>0</v>
      </c>
      <c r="K32" s="436"/>
      <c r="L32" s="436">
        <f t="shared" si="1"/>
        <v>0</v>
      </c>
      <c r="M32" s="436"/>
      <c r="N32" s="437">
        <f t="shared" si="2"/>
        <v>0</v>
      </c>
      <c r="Q32" s="448"/>
      <c r="X32" s="450"/>
      <c r="Y32" s="450"/>
      <c r="Z32" s="450"/>
    </row>
    <row r="33" spans="1:26" x14ac:dyDescent="0.3">
      <c r="A33" s="434">
        <v>45990</v>
      </c>
      <c r="B33" s="212"/>
      <c r="C33" s="436"/>
      <c r="D33" s="436"/>
      <c r="E33" s="436"/>
      <c r="F33" s="436"/>
      <c r="G33" s="436"/>
      <c r="H33" s="436"/>
      <c r="I33" s="436"/>
      <c r="J33" s="436">
        <f t="shared" si="0"/>
        <v>0</v>
      </c>
      <c r="K33" s="436"/>
      <c r="L33" s="436">
        <f t="shared" si="1"/>
        <v>0</v>
      </c>
      <c r="M33" s="436"/>
      <c r="N33" s="437">
        <f t="shared" si="2"/>
        <v>0</v>
      </c>
      <c r="Q33" s="448"/>
      <c r="X33" s="450"/>
      <c r="Y33" s="450"/>
      <c r="Z33" s="450"/>
    </row>
    <row r="34" spans="1:26" x14ac:dyDescent="0.3">
      <c r="A34" s="434">
        <v>45991</v>
      </c>
      <c r="B34" s="212"/>
      <c r="C34" s="436"/>
      <c r="D34" s="436"/>
      <c r="E34" s="436"/>
      <c r="F34" s="436"/>
      <c r="G34" s="436"/>
      <c r="H34" s="436"/>
      <c r="I34" s="436"/>
      <c r="J34" s="436">
        <f t="shared" si="0"/>
        <v>0</v>
      </c>
      <c r="K34" s="436"/>
      <c r="L34" s="436">
        <f t="shared" si="1"/>
        <v>0</v>
      </c>
      <c r="M34" s="436"/>
      <c r="N34" s="437">
        <f t="shared" si="2"/>
        <v>0</v>
      </c>
    </row>
    <row r="35" spans="1:26" ht="15" thickBot="1" x14ac:dyDescent="0.35">
      <c r="A35" s="434"/>
      <c r="B35" s="439"/>
      <c r="C35" s="440"/>
      <c r="D35" s="440"/>
      <c r="E35" s="440"/>
      <c r="F35" s="440"/>
      <c r="G35" s="440"/>
      <c r="H35" s="440"/>
      <c r="I35" s="440"/>
      <c r="J35" s="436">
        <f t="shared" si="0"/>
        <v>0</v>
      </c>
      <c r="K35" s="436"/>
      <c r="L35" s="436">
        <f t="shared" si="1"/>
        <v>0</v>
      </c>
      <c r="M35" s="436"/>
      <c r="N35" s="437">
        <f t="shared" si="2"/>
        <v>0</v>
      </c>
    </row>
    <row r="36" spans="1:26" ht="15" thickBot="1" x14ac:dyDescent="0.35">
      <c r="A36" s="438" t="s">
        <v>48</v>
      </c>
      <c r="B36" s="456">
        <f>SUM(B5:B35)</f>
        <v>0</v>
      </c>
      <c r="C36" s="456">
        <f t="shared" ref="C36:N36" si="3">SUM(C5:C35)</f>
        <v>0</v>
      </c>
      <c r="D36" s="456">
        <f t="shared" si="3"/>
        <v>0</v>
      </c>
      <c r="E36" s="456">
        <f t="shared" si="3"/>
        <v>0</v>
      </c>
      <c r="F36" s="456">
        <f t="shared" si="3"/>
        <v>0</v>
      </c>
      <c r="G36" s="456">
        <f t="shared" si="3"/>
        <v>0</v>
      </c>
      <c r="H36" s="456">
        <f t="shared" si="3"/>
        <v>0</v>
      </c>
      <c r="I36" s="456">
        <f t="shared" si="3"/>
        <v>0</v>
      </c>
      <c r="J36" s="456">
        <f t="shared" si="3"/>
        <v>0</v>
      </c>
      <c r="K36" s="456">
        <f t="shared" si="3"/>
        <v>0</v>
      </c>
      <c r="L36" s="456">
        <f t="shared" si="3"/>
        <v>0</v>
      </c>
      <c r="M36" s="456">
        <f t="shared" si="3"/>
        <v>0</v>
      </c>
      <c r="N36" s="456">
        <f t="shared" si="3"/>
        <v>0</v>
      </c>
    </row>
  </sheetData>
  <mergeCells count="12">
    <mergeCell ref="J1:J3"/>
    <mergeCell ref="K1:K3"/>
    <mergeCell ref="L1:L3"/>
    <mergeCell ref="M1:M3"/>
    <mergeCell ref="N1:N3"/>
    <mergeCell ref="D1:D3"/>
    <mergeCell ref="E1:E3"/>
    <mergeCell ref="I1:I3"/>
    <mergeCell ref="A1:A3"/>
    <mergeCell ref="B1:B3"/>
    <mergeCell ref="C1:C3"/>
    <mergeCell ref="F1:H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Q38"/>
  <sheetViews>
    <sheetView showGridLines="0" tabSelected="1" zoomScale="60" zoomScaleNormal="55" zoomScaleSheetLayoutView="70" workbookViewId="0">
      <selection activeCell="G9" sqref="G9"/>
    </sheetView>
  </sheetViews>
  <sheetFormatPr defaultColWidth="9.109375" defaultRowHeight="13.8" x14ac:dyDescent="0.25"/>
  <cols>
    <col min="1" max="2" width="14.5546875" style="2" customWidth="1"/>
    <col min="3" max="10" width="22.5546875" style="1" customWidth="1"/>
    <col min="11" max="13" width="24.5546875" style="1" customWidth="1"/>
    <col min="14" max="14" width="12.88671875" style="1" bestFit="1" customWidth="1"/>
    <col min="15" max="16384" width="9.109375" style="1"/>
  </cols>
  <sheetData>
    <row r="1" spans="1:17" ht="61.5" customHeight="1" thickBot="1" x14ac:dyDescent="0.3">
      <c r="A1" s="516" t="s">
        <v>119</v>
      </c>
      <c r="B1" s="516"/>
      <c r="C1" s="516"/>
      <c r="L1" s="523" t="s">
        <v>120</v>
      </c>
      <c r="M1" s="524"/>
    </row>
    <row r="2" spans="1:17" ht="31.5" customHeight="1" x14ac:dyDescent="0.25">
      <c r="A2" s="519" t="s">
        <v>121</v>
      </c>
      <c r="B2" s="520"/>
      <c r="C2" s="520"/>
      <c r="D2" s="520"/>
      <c r="E2" s="520"/>
      <c r="F2" s="520"/>
      <c r="G2" s="520"/>
      <c r="H2" s="520"/>
      <c r="I2" s="520"/>
      <c r="J2" s="520"/>
      <c r="K2" s="520"/>
      <c r="L2" s="520"/>
      <c r="M2" s="521"/>
    </row>
    <row r="3" spans="1:17" ht="16.5" customHeight="1" x14ac:dyDescent="0.25">
      <c r="A3" s="526" t="s">
        <v>6</v>
      </c>
      <c r="B3" s="466"/>
      <c r="C3" s="465" t="s">
        <v>27</v>
      </c>
      <c r="D3" s="465" t="s">
        <v>24</v>
      </c>
      <c r="E3" s="497" t="s">
        <v>153</v>
      </c>
      <c r="F3" s="497" t="s">
        <v>154</v>
      </c>
      <c r="G3" s="472" t="s">
        <v>108</v>
      </c>
      <c r="H3" s="472"/>
      <c r="I3" s="472"/>
      <c r="J3" s="465" t="s">
        <v>109</v>
      </c>
      <c r="K3" s="497" t="s">
        <v>110</v>
      </c>
      <c r="L3" s="497" t="s">
        <v>113</v>
      </c>
      <c r="M3" s="522" t="s">
        <v>114</v>
      </c>
    </row>
    <row r="4" spans="1:17" ht="16.5" customHeight="1" x14ac:dyDescent="0.25">
      <c r="A4" s="527"/>
      <c r="B4" s="468"/>
      <c r="C4" s="508"/>
      <c r="D4" s="508"/>
      <c r="E4" s="504"/>
      <c r="F4" s="504"/>
      <c r="G4" s="472"/>
      <c r="H4" s="472"/>
      <c r="I4" s="472"/>
      <c r="J4" s="508"/>
      <c r="K4" s="504"/>
      <c r="L4" s="504"/>
      <c r="M4" s="514"/>
    </row>
    <row r="5" spans="1:17" ht="33.9" customHeight="1" x14ac:dyDescent="0.25">
      <c r="A5" s="525">
        <v>45962</v>
      </c>
      <c r="B5" s="496"/>
      <c r="C5" s="467"/>
      <c r="D5" s="467"/>
      <c r="E5" s="498"/>
      <c r="F5" s="498"/>
      <c r="G5" s="43" t="s">
        <v>115</v>
      </c>
      <c r="H5" s="43" t="s">
        <v>116</v>
      </c>
      <c r="I5" s="43" t="s">
        <v>117</v>
      </c>
      <c r="J5" s="467"/>
      <c r="K5" s="498"/>
      <c r="L5" s="498"/>
      <c r="M5" s="515"/>
    </row>
    <row r="6" spans="1:17" s="356" customFormat="1" ht="20.100000000000001" customHeight="1" x14ac:dyDescent="0.3">
      <c r="A6" s="528" t="s">
        <v>25</v>
      </c>
      <c r="B6" s="529"/>
      <c r="C6" s="422" t="s">
        <v>155</v>
      </c>
      <c r="D6" s="422" t="s">
        <v>155</v>
      </c>
      <c r="E6" s="422" t="s">
        <v>155</v>
      </c>
      <c r="F6" s="422" t="s">
        <v>155</v>
      </c>
      <c r="G6" s="422" t="s">
        <v>155</v>
      </c>
      <c r="H6" s="422" t="s">
        <v>155</v>
      </c>
      <c r="I6" s="422" t="s">
        <v>155</v>
      </c>
      <c r="J6" s="422" t="s">
        <v>155</v>
      </c>
      <c r="K6" s="422" t="s">
        <v>155</v>
      </c>
      <c r="L6" s="422" t="s">
        <v>155</v>
      </c>
      <c r="M6" s="455" t="s">
        <v>155</v>
      </c>
    </row>
    <row r="7" spans="1:17" ht="34.5" customHeight="1" x14ac:dyDescent="0.25">
      <c r="A7" s="530">
        <v>0</v>
      </c>
      <c r="B7" s="531"/>
      <c r="C7" s="441"/>
      <c r="D7" s="441"/>
      <c r="E7" s="441"/>
      <c r="F7" s="441"/>
      <c r="G7" s="441"/>
      <c r="H7" s="441"/>
      <c r="I7" s="441"/>
      <c r="J7" s="441"/>
      <c r="K7" s="441">
        <f>SUM(C7:G7)-H7+I7+J7</f>
        <v>0</v>
      </c>
      <c r="L7" s="441"/>
      <c r="M7" s="442">
        <f>K7+L7</f>
        <v>0</v>
      </c>
      <c r="N7" s="74"/>
      <c r="O7" s="421"/>
      <c r="P7" s="74"/>
      <c r="Q7" s="74"/>
    </row>
    <row r="8" spans="1:17" ht="34.5" customHeight="1" x14ac:dyDescent="0.25">
      <c r="A8" s="517">
        <v>4.1666666666666699E-2</v>
      </c>
      <c r="B8" s="518"/>
      <c r="C8" s="43"/>
      <c r="D8" s="43"/>
      <c r="E8" s="43"/>
      <c r="F8" s="43"/>
      <c r="G8" s="43"/>
      <c r="H8" s="43"/>
      <c r="I8" s="43"/>
      <c r="J8" s="43"/>
      <c r="K8" s="443">
        <f t="shared" ref="K8:K31" si="0">SUM(C8:G8)-H8+I8+J8</f>
        <v>0</v>
      </c>
      <c r="L8" s="443"/>
      <c r="M8" s="454">
        <f t="shared" ref="M8:M31" si="1">K8+L8</f>
        <v>0</v>
      </c>
      <c r="N8" s="74"/>
      <c r="O8" s="421"/>
      <c r="P8" s="74"/>
      <c r="Q8" s="74"/>
    </row>
    <row r="9" spans="1:17" ht="34.5" customHeight="1" x14ac:dyDescent="0.25">
      <c r="A9" s="517">
        <v>8.3333333333333398E-2</v>
      </c>
      <c r="B9" s="518"/>
      <c r="C9" s="43"/>
      <c r="D9" s="43"/>
      <c r="E9" s="43"/>
      <c r="F9" s="43"/>
      <c r="G9" s="43"/>
      <c r="H9" s="43"/>
      <c r="I9" s="43"/>
      <c r="J9" s="43"/>
      <c r="K9" s="443">
        <f t="shared" si="0"/>
        <v>0</v>
      </c>
      <c r="L9" s="443"/>
      <c r="M9" s="454">
        <f t="shared" si="1"/>
        <v>0</v>
      </c>
      <c r="N9" s="74"/>
      <c r="O9" s="421"/>
      <c r="P9" s="74"/>
      <c r="Q9" s="74"/>
    </row>
    <row r="10" spans="1:17" ht="34.5" customHeight="1" x14ac:dyDescent="0.25">
      <c r="A10" s="517">
        <v>7</v>
      </c>
      <c r="B10" s="518"/>
      <c r="C10" s="43"/>
      <c r="D10" s="43"/>
      <c r="E10" s="43"/>
      <c r="F10" s="43"/>
      <c r="G10" s="43"/>
      <c r="H10" s="43"/>
      <c r="I10" s="43"/>
      <c r="J10" s="43"/>
      <c r="K10" s="443">
        <f t="shared" si="0"/>
        <v>0</v>
      </c>
      <c r="L10" s="443"/>
      <c r="M10" s="454">
        <f t="shared" si="1"/>
        <v>0</v>
      </c>
      <c r="N10" s="74"/>
      <c r="O10" s="421"/>
      <c r="P10" s="74"/>
      <c r="Q10" s="74"/>
    </row>
    <row r="11" spans="1:17" ht="34.5" customHeight="1" x14ac:dyDescent="0.25">
      <c r="A11" s="517">
        <v>0.16666666666666699</v>
      </c>
      <c r="B11" s="518"/>
      <c r="C11" s="43"/>
      <c r="D11" s="43"/>
      <c r="E11" s="43"/>
      <c r="F11" s="43"/>
      <c r="G11" s="43"/>
      <c r="H11" s="43"/>
      <c r="I11" s="43"/>
      <c r="J11" s="43"/>
      <c r="K11" s="443">
        <f t="shared" si="0"/>
        <v>0</v>
      </c>
      <c r="L11" s="443"/>
      <c r="M11" s="454">
        <f t="shared" si="1"/>
        <v>0</v>
      </c>
      <c r="N11" s="74"/>
      <c r="O11" s="421"/>
      <c r="P11" s="74"/>
      <c r="Q11" s="74"/>
    </row>
    <row r="12" spans="1:17" ht="34.5" customHeight="1" x14ac:dyDescent="0.25">
      <c r="A12" s="517">
        <v>0.20833333333333301</v>
      </c>
      <c r="B12" s="518"/>
      <c r="C12" s="43"/>
      <c r="D12" s="43"/>
      <c r="E12" s="43"/>
      <c r="F12" s="43"/>
      <c r="G12" s="43"/>
      <c r="H12" s="43"/>
      <c r="I12" s="43"/>
      <c r="J12" s="43"/>
      <c r="K12" s="443">
        <f t="shared" si="0"/>
        <v>0</v>
      </c>
      <c r="L12" s="443"/>
      <c r="M12" s="454">
        <f t="shared" si="1"/>
        <v>0</v>
      </c>
      <c r="N12" s="74"/>
      <c r="O12" s="421"/>
      <c r="P12" s="74"/>
      <c r="Q12" s="74"/>
    </row>
    <row r="13" spans="1:17" ht="34.5" customHeight="1" x14ac:dyDescent="0.25">
      <c r="A13" s="517">
        <v>0.25</v>
      </c>
      <c r="B13" s="518"/>
      <c r="C13" s="43"/>
      <c r="D13" s="43"/>
      <c r="E13" s="43"/>
      <c r="F13" s="43"/>
      <c r="G13" s="43"/>
      <c r="H13" s="43"/>
      <c r="I13" s="43"/>
      <c r="J13" s="43"/>
      <c r="K13" s="443">
        <f t="shared" si="0"/>
        <v>0</v>
      </c>
      <c r="L13" s="443"/>
      <c r="M13" s="454">
        <f t="shared" si="1"/>
        <v>0</v>
      </c>
      <c r="N13" s="74"/>
      <c r="O13" s="421"/>
      <c r="P13" s="74"/>
      <c r="Q13" s="74"/>
    </row>
    <row r="14" spans="1:17" ht="34.5" customHeight="1" x14ac:dyDescent="0.25">
      <c r="A14" s="517">
        <v>0.29166666666666702</v>
      </c>
      <c r="B14" s="518"/>
      <c r="C14" s="43"/>
      <c r="D14" s="43"/>
      <c r="E14" s="43"/>
      <c r="F14" s="43"/>
      <c r="G14" s="43"/>
      <c r="H14" s="43"/>
      <c r="I14" s="43"/>
      <c r="J14" s="43"/>
      <c r="K14" s="443">
        <f t="shared" si="0"/>
        <v>0</v>
      </c>
      <c r="L14" s="443"/>
      <c r="M14" s="454">
        <f t="shared" si="1"/>
        <v>0</v>
      </c>
      <c r="N14" s="74"/>
      <c r="O14" s="421"/>
      <c r="P14" s="74"/>
      <c r="Q14" s="74"/>
    </row>
    <row r="15" spans="1:17" ht="34.5" customHeight="1" x14ac:dyDescent="0.25">
      <c r="A15" s="517">
        <v>0.33333333333333398</v>
      </c>
      <c r="B15" s="518"/>
      <c r="C15" s="43"/>
      <c r="D15" s="43"/>
      <c r="E15" s="43"/>
      <c r="F15" s="43"/>
      <c r="G15" s="43"/>
      <c r="H15" s="43"/>
      <c r="I15" s="43"/>
      <c r="J15" s="43"/>
      <c r="K15" s="443">
        <f t="shared" si="0"/>
        <v>0</v>
      </c>
      <c r="L15" s="443"/>
      <c r="M15" s="454">
        <f t="shared" si="1"/>
        <v>0</v>
      </c>
      <c r="N15" s="74"/>
      <c r="O15" s="421"/>
      <c r="P15" s="74"/>
      <c r="Q15" s="74"/>
    </row>
    <row r="16" spans="1:17" ht="34.5" customHeight="1" x14ac:dyDescent="0.25">
      <c r="A16" s="517">
        <v>0.375</v>
      </c>
      <c r="B16" s="518"/>
      <c r="C16" s="43"/>
      <c r="D16" s="43"/>
      <c r="E16" s="43"/>
      <c r="F16" s="43"/>
      <c r="G16" s="43"/>
      <c r="H16" s="43"/>
      <c r="I16" s="43"/>
      <c r="J16" s="43"/>
      <c r="K16" s="443">
        <f t="shared" si="0"/>
        <v>0</v>
      </c>
      <c r="L16" s="443"/>
      <c r="M16" s="454">
        <f t="shared" si="1"/>
        <v>0</v>
      </c>
      <c r="N16" s="74"/>
      <c r="O16" s="421"/>
      <c r="P16" s="74"/>
      <c r="Q16" s="74"/>
    </row>
    <row r="17" spans="1:17" ht="34.5" customHeight="1" x14ac:dyDescent="0.25">
      <c r="A17" s="517">
        <v>0.41666666666666702</v>
      </c>
      <c r="B17" s="518"/>
      <c r="C17" s="43"/>
      <c r="D17" s="43"/>
      <c r="E17" s="43"/>
      <c r="F17" s="43"/>
      <c r="G17" s="43"/>
      <c r="H17" s="43"/>
      <c r="I17" s="43"/>
      <c r="J17" s="43"/>
      <c r="K17" s="443">
        <f t="shared" si="0"/>
        <v>0</v>
      </c>
      <c r="L17" s="443"/>
      <c r="M17" s="454">
        <f t="shared" si="1"/>
        <v>0</v>
      </c>
      <c r="N17" s="74"/>
      <c r="O17" s="421"/>
      <c r="P17" s="74"/>
      <c r="Q17" s="74"/>
    </row>
    <row r="18" spans="1:17" ht="34.5" customHeight="1" x14ac:dyDescent="0.25">
      <c r="A18" s="517">
        <v>0.45833333333333398</v>
      </c>
      <c r="B18" s="518"/>
      <c r="C18" s="43"/>
      <c r="D18" s="43"/>
      <c r="E18" s="43"/>
      <c r="F18" s="43"/>
      <c r="G18" s="43"/>
      <c r="H18" s="43"/>
      <c r="I18" s="43"/>
      <c r="J18" s="43"/>
      <c r="K18" s="443">
        <f t="shared" si="0"/>
        <v>0</v>
      </c>
      <c r="L18" s="443"/>
      <c r="M18" s="454">
        <f t="shared" si="1"/>
        <v>0</v>
      </c>
      <c r="N18" s="74"/>
      <c r="O18" s="421"/>
      <c r="P18" s="74"/>
      <c r="Q18" s="74"/>
    </row>
    <row r="19" spans="1:17" ht="34.5" customHeight="1" x14ac:dyDescent="0.25">
      <c r="A19" s="517">
        <v>0.5</v>
      </c>
      <c r="B19" s="518"/>
      <c r="C19" s="43"/>
      <c r="D19" s="43"/>
      <c r="E19" s="43"/>
      <c r="F19" s="43"/>
      <c r="G19" s="43"/>
      <c r="H19" s="43"/>
      <c r="I19" s="43"/>
      <c r="J19" s="43"/>
      <c r="K19" s="443">
        <f t="shared" si="0"/>
        <v>0</v>
      </c>
      <c r="L19" s="443"/>
      <c r="M19" s="454">
        <f t="shared" si="1"/>
        <v>0</v>
      </c>
      <c r="N19" s="74"/>
      <c r="O19" s="421"/>
      <c r="P19" s="74"/>
      <c r="Q19" s="74"/>
    </row>
    <row r="20" spans="1:17" ht="34.5" customHeight="1" x14ac:dyDescent="0.25">
      <c r="A20" s="517">
        <v>0.54166666666666696</v>
      </c>
      <c r="B20" s="518"/>
      <c r="C20" s="43"/>
      <c r="D20" s="43"/>
      <c r="E20" s="43"/>
      <c r="F20" s="43"/>
      <c r="G20" s="43"/>
      <c r="H20" s="43"/>
      <c r="I20" s="43"/>
      <c r="J20" s="43"/>
      <c r="K20" s="443">
        <f t="shared" si="0"/>
        <v>0</v>
      </c>
      <c r="L20" s="443"/>
      <c r="M20" s="454">
        <f t="shared" si="1"/>
        <v>0</v>
      </c>
      <c r="N20" s="74"/>
      <c r="O20" s="421"/>
      <c r="P20" s="74"/>
      <c r="Q20" s="74"/>
    </row>
    <row r="21" spans="1:17" ht="34.5" customHeight="1" x14ac:dyDescent="0.25">
      <c r="A21" s="517">
        <v>0.58333333333333404</v>
      </c>
      <c r="B21" s="518"/>
      <c r="C21" s="43"/>
      <c r="D21" s="43"/>
      <c r="E21" s="43"/>
      <c r="F21" s="43"/>
      <c r="G21" s="43"/>
      <c r="H21" s="43"/>
      <c r="I21" s="43"/>
      <c r="J21" s="43"/>
      <c r="K21" s="443">
        <f t="shared" si="0"/>
        <v>0</v>
      </c>
      <c r="L21" s="443"/>
      <c r="M21" s="454">
        <f t="shared" si="1"/>
        <v>0</v>
      </c>
      <c r="N21" s="74"/>
      <c r="O21" s="421"/>
      <c r="P21" s="74"/>
      <c r="Q21" s="74"/>
    </row>
    <row r="22" spans="1:17" ht="34.5" customHeight="1" x14ac:dyDescent="0.25">
      <c r="A22" s="517">
        <v>0.625</v>
      </c>
      <c r="B22" s="518"/>
      <c r="C22" s="43"/>
      <c r="D22" s="43"/>
      <c r="E22" s="43"/>
      <c r="F22" s="43"/>
      <c r="G22" s="43"/>
      <c r="H22" s="43"/>
      <c r="I22" s="43"/>
      <c r="J22" s="43"/>
      <c r="K22" s="443">
        <f t="shared" si="0"/>
        <v>0</v>
      </c>
      <c r="L22" s="443"/>
      <c r="M22" s="454">
        <f t="shared" si="1"/>
        <v>0</v>
      </c>
      <c r="N22" s="74"/>
      <c r="O22" s="421"/>
      <c r="P22" s="74"/>
      <c r="Q22" s="74"/>
    </row>
    <row r="23" spans="1:17" ht="34.5" customHeight="1" x14ac:dyDescent="0.25">
      <c r="A23" s="517">
        <v>0.66666666666666696</v>
      </c>
      <c r="B23" s="518"/>
      <c r="C23" s="43"/>
      <c r="D23" s="43"/>
      <c r="E23" s="43"/>
      <c r="F23" s="43"/>
      <c r="G23" s="43"/>
      <c r="H23" s="43"/>
      <c r="I23" s="43"/>
      <c r="J23" s="43"/>
      <c r="K23" s="443">
        <f t="shared" si="0"/>
        <v>0</v>
      </c>
      <c r="L23" s="443"/>
      <c r="M23" s="454">
        <f t="shared" si="1"/>
        <v>0</v>
      </c>
      <c r="N23" s="74"/>
      <c r="O23" s="421"/>
      <c r="P23" s="74"/>
      <c r="Q23" s="74"/>
    </row>
    <row r="24" spans="1:17" ht="34.5" customHeight="1" x14ac:dyDescent="0.25">
      <c r="A24" s="517">
        <v>0.70833333333333404</v>
      </c>
      <c r="B24" s="518"/>
      <c r="C24" s="43"/>
      <c r="D24" s="43"/>
      <c r="E24" s="43"/>
      <c r="F24" s="43"/>
      <c r="G24" s="43"/>
      <c r="H24" s="43"/>
      <c r="I24" s="43"/>
      <c r="J24" s="43"/>
      <c r="K24" s="443">
        <f t="shared" si="0"/>
        <v>0</v>
      </c>
      <c r="L24" s="443"/>
      <c r="M24" s="454">
        <f t="shared" si="1"/>
        <v>0</v>
      </c>
      <c r="N24" s="74"/>
      <c r="O24" s="421"/>
      <c r="P24" s="74"/>
      <c r="Q24" s="74"/>
    </row>
    <row r="25" spans="1:17" ht="34.5" customHeight="1" x14ac:dyDescent="0.25">
      <c r="A25" s="517">
        <v>0.750000000000001</v>
      </c>
      <c r="B25" s="518"/>
      <c r="C25" s="43"/>
      <c r="D25" s="43"/>
      <c r="E25" s="43"/>
      <c r="F25" s="43"/>
      <c r="G25" s="43"/>
      <c r="H25" s="43"/>
      <c r="I25" s="43"/>
      <c r="J25" s="43"/>
      <c r="K25" s="443">
        <f t="shared" si="0"/>
        <v>0</v>
      </c>
      <c r="L25" s="443"/>
      <c r="M25" s="454">
        <f t="shared" si="1"/>
        <v>0</v>
      </c>
      <c r="N25" s="74"/>
      <c r="O25" s="421"/>
      <c r="P25" s="74"/>
      <c r="Q25" s="74"/>
    </row>
    <row r="26" spans="1:17" ht="34.5" customHeight="1" x14ac:dyDescent="0.25">
      <c r="A26" s="517">
        <v>0.79166666666666696</v>
      </c>
      <c r="B26" s="518"/>
      <c r="C26" s="43"/>
      <c r="D26" s="43"/>
      <c r="E26" s="43"/>
      <c r="F26" s="43"/>
      <c r="G26" s="43"/>
      <c r="H26" s="43"/>
      <c r="I26" s="43"/>
      <c r="J26" s="43"/>
      <c r="K26" s="443">
        <f t="shared" si="0"/>
        <v>0</v>
      </c>
      <c r="L26" s="443"/>
      <c r="M26" s="454">
        <f t="shared" si="1"/>
        <v>0</v>
      </c>
      <c r="N26" s="74"/>
      <c r="O26" s="421"/>
      <c r="P26" s="74"/>
      <c r="Q26" s="74"/>
    </row>
    <row r="27" spans="1:17" ht="34.5" customHeight="1" x14ac:dyDescent="0.25">
      <c r="A27" s="517">
        <v>0.83333333333333404</v>
      </c>
      <c r="B27" s="518"/>
      <c r="C27" s="43"/>
      <c r="D27" s="43"/>
      <c r="E27" s="43"/>
      <c r="F27" s="43"/>
      <c r="G27" s="43"/>
      <c r="H27" s="43"/>
      <c r="I27" s="43"/>
      <c r="J27" s="43"/>
      <c r="K27" s="443">
        <f t="shared" si="0"/>
        <v>0</v>
      </c>
      <c r="L27" s="443"/>
      <c r="M27" s="454">
        <f t="shared" si="1"/>
        <v>0</v>
      </c>
      <c r="N27" s="74"/>
      <c r="O27" s="421"/>
      <c r="P27" s="74"/>
      <c r="Q27" s="74"/>
    </row>
    <row r="28" spans="1:17" ht="34.5" customHeight="1" x14ac:dyDescent="0.25">
      <c r="A28" s="517">
        <v>0.875000000000001</v>
      </c>
      <c r="B28" s="518"/>
      <c r="C28" s="43"/>
      <c r="D28" s="43"/>
      <c r="E28" s="43"/>
      <c r="F28" s="43"/>
      <c r="G28" s="43"/>
      <c r="H28" s="43"/>
      <c r="I28" s="43"/>
      <c r="J28" s="43"/>
      <c r="K28" s="443">
        <f t="shared" si="0"/>
        <v>0</v>
      </c>
      <c r="L28" s="443"/>
      <c r="M28" s="454">
        <f t="shared" si="1"/>
        <v>0</v>
      </c>
      <c r="N28" s="74"/>
      <c r="O28" s="421"/>
      <c r="P28" s="74"/>
      <c r="Q28" s="74"/>
    </row>
    <row r="29" spans="1:17" ht="34.5" customHeight="1" x14ac:dyDescent="0.25">
      <c r="A29" s="517">
        <v>0.91666666666666696</v>
      </c>
      <c r="B29" s="518"/>
      <c r="C29" s="43"/>
      <c r="D29" s="43"/>
      <c r="E29" s="43"/>
      <c r="F29" s="43"/>
      <c r="G29" s="43"/>
      <c r="H29" s="43"/>
      <c r="I29" s="43"/>
      <c r="J29" s="43"/>
      <c r="K29" s="443">
        <f t="shared" si="0"/>
        <v>0</v>
      </c>
      <c r="L29" s="443"/>
      <c r="M29" s="454">
        <f t="shared" si="1"/>
        <v>0</v>
      </c>
      <c r="N29" s="74"/>
      <c r="O29" s="421"/>
      <c r="P29" s="74"/>
      <c r="Q29" s="74"/>
    </row>
    <row r="30" spans="1:17" ht="34.5" customHeight="1" x14ac:dyDescent="0.25">
      <c r="A30" s="534">
        <v>0.95833333333333404</v>
      </c>
      <c r="B30" s="535"/>
      <c r="C30" s="43"/>
      <c r="D30" s="43"/>
      <c r="E30" s="43"/>
      <c r="F30" s="43"/>
      <c r="G30" s="43"/>
      <c r="H30" s="43"/>
      <c r="I30" s="43"/>
      <c r="J30" s="43"/>
      <c r="K30" s="443">
        <f t="shared" si="0"/>
        <v>0</v>
      </c>
      <c r="L30" s="443"/>
      <c r="M30" s="454">
        <f t="shared" si="1"/>
        <v>0</v>
      </c>
      <c r="N30" s="74"/>
      <c r="O30" s="421"/>
      <c r="P30" s="74"/>
      <c r="Q30" s="74"/>
    </row>
    <row r="31" spans="1:17" ht="34.5" customHeight="1" thickBot="1" x14ac:dyDescent="0.3">
      <c r="A31" s="517">
        <v>0</v>
      </c>
      <c r="B31" s="518"/>
      <c r="C31" s="444"/>
      <c r="D31" s="444"/>
      <c r="E31" s="444"/>
      <c r="F31" s="444"/>
      <c r="G31" s="444"/>
      <c r="H31" s="444"/>
      <c r="I31" s="444"/>
      <c r="J31" s="444"/>
      <c r="K31" s="443">
        <f t="shared" si="0"/>
        <v>0</v>
      </c>
      <c r="L31" s="443"/>
      <c r="M31" s="454">
        <f t="shared" si="1"/>
        <v>0</v>
      </c>
      <c r="N31" s="74"/>
      <c r="O31" s="421"/>
      <c r="P31" s="74"/>
      <c r="Q31" s="74"/>
    </row>
    <row r="32" spans="1:17" ht="21.9" customHeight="1" thickBot="1" x14ac:dyDescent="0.3">
      <c r="A32" s="532" t="s">
        <v>48</v>
      </c>
      <c r="B32" s="533"/>
      <c r="C32" s="445">
        <f>SUM(C8:C31)</f>
        <v>0</v>
      </c>
      <c r="D32" s="445">
        <f t="shared" ref="D32:M32" si="2">SUM(D8:D31)</f>
        <v>0</v>
      </c>
      <c r="E32" s="445">
        <f t="shared" si="2"/>
        <v>0</v>
      </c>
      <c r="F32" s="445">
        <f t="shared" si="2"/>
        <v>0</v>
      </c>
      <c r="G32" s="445">
        <f t="shared" si="2"/>
        <v>0</v>
      </c>
      <c r="H32" s="445">
        <f t="shared" si="2"/>
        <v>0</v>
      </c>
      <c r="I32" s="445"/>
      <c r="J32" s="445">
        <f t="shared" si="2"/>
        <v>0</v>
      </c>
      <c r="K32" s="445">
        <f t="shared" si="2"/>
        <v>0</v>
      </c>
      <c r="L32" s="445">
        <f t="shared" si="2"/>
        <v>0</v>
      </c>
      <c r="M32" s="446">
        <f t="shared" si="2"/>
        <v>0</v>
      </c>
    </row>
    <row r="33" spans="1:13" ht="21.9" customHeight="1" x14ac:dyDescent="0.25">
      <c r="A33" s="424"/>
      <c r="B33" s="424"/>
      <c r="C33" s="425"/>
      <c r="D33" s="425"/>
      <c r="E33" s="426"/>
      <c r="F33" s="427"/>
      <c r="G33" s="427"/>
      <c r="H33" s="427"/>
      <c r="I33" s="427"/>
      <c r="J33" s="427"/>
      <c r="K33" s="427"/>
      <c r="L33" s="426"/>
    </row>
    <row r="34" spans="1:13" ht="21.9" customHeight="1" x14ac:dyDescent="0.25"/>
    <row r="35" spans="1:13" s="423" customFormat="1" ht="18" customHeight="1" x14ac:dyDescent="0.25">
      <c r="A35" s="2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s="356" customFormat="1" ht="18" customHeight="1" x14ac:dyDescent="0.25">
      <c r="A36" s="2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5.9" customHeight="1" x14ac:dyDescent="0.25"/>
    <row r="38" spans="1:13" ht="15.9" customHeight="1" x14ac:dyDescent="0.25"/>
  </sheetData>
  <mergeCells count="41">
    <mergeCell ref="A32:B32"/>
    <mergeCell ref="A17:B17"/>
    <mergeCell ref="A27:B27"/>
    <mergeCell ref="A28:B28"/>
    <mergeCell ref="A29:B29"/>
    <mergeCell ref="A30:B30"/>
    <mergeCell ref="A25:B25"/>
    <mergeCell ref="A26:B26"/>
    <mergeCell ref="A24:B24"/>
    <mergeCell ref="A20:B20"/>
    <mergeCell ref="A21:B21"/>
    <mergeCell ref="A22:B22"/>
    <mergeCell ref="A23:B23"/>
    <mergeCell ref="A19:B19"/>
    <mergeCell ref="A31:B31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A12:B12"/>
    <mergeCell ref="E3:E5"/>
    <mergeCell ref="F3:F5"/>
    <mergeCell ref="G3:I4"/>
    <mergeCell ref="A1:C1"/>
    <mergeCell ref="A18:B18"/>
    <mergeCell ref="A2:M2"/>
    <mergeCell ref="L3:L5"/>
    <mergeCell ref="M3:M5"/>
    <mergeCell ref="L1:M1"/>
    <mergeCell ref="K3:K5"/>
    <mergeCell ref="A5:B5"/>
    <mergeCell ref="A3:B4"/>
    <mergeCell ref="J3:J5"/>
    <mergeCell ref="C3:C5"/>
    <mergeCell ref="D3:D5"/>
    <mergeCell ref="A13:B13"/>
  </mergeCells>
  <phoneticPr fontId="31" type="noConversion"/>
  <pageMargins left="0.23622047244094491" right="0.23622047244094491" top="0" bottom="0" header="0.31496062992125984" footer="0.31496062992125984"/>
  <pageSetup paperSize="9" scale="70" orientation="landscape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BA2D3-5861-4698-8EC0-5EBB390749BC}">
  <sheetPr>
    <pageSetUpPr fitToPage="1"/>
  </sheetPr>
  <dimension ref="A1:Q38"/>
  <sheetViews>
    <sheetView showGridLines="0" zoomScale="60" zoomScaleNormal="55" zoomScaleSheetLayoutView="70" workbookViewId="0">
      <selection activeCell="G3" sqref="G3:I6"/>
    </sheetView>
  </sheetViews>
  <sheetFormatPr defaultColWidth="9.109375" defaultRowHeight="13.8" x14ac:dyDescent="0.25"/>
  <cols>
    <col min="1" max="2" width="14.5546875" style="2" customWidth="1"/>
    <col min="3" max="10" width="22.5546875" style="1" customWidth="1"/>
    <col min="11" max="13" width="24.5546875" style="1" customWidth="1"/>
    <col min="14" max="14" width="12.88671875" style="1" bestFit="1" customWidth="1"/>
    <col min="15" max="16384" width="9.109375" style="1"/>
  </cols>
  <sheetData>
    <row r="1" spans="1:17" ht="61.5" customHeight="1" thickBot="1" x14ac:dyDescent="0.3">
      <c r="A1" s="516" t="s">
        <v>119</v>
      </c>
      <c r="B1" s="516"/>
      <c r="C1" s="516"/>
      <c r="L1" s="523" t="s">
        <v>120</v>
      </c>
      <c r="M1" s="524"/>
    </row>
    <row r="2" spans="1:17" ht="31.5" customHeight="1" x14ac:dyDescent="0.25">
      <c r="A2" s="519" t="s">
        <v>121</v>
      </c>
      <c r="B2" s="520"/>
      <c r="C2" s="520"/>
      <c r="D2" s="520"/>
      <c r="E2" s="520"/>
      <c r="F2" s="520"/>
      <c r="G2" s="520"/>
      <c r="H2" s="520"/>
      <c r="I2" s="520"/>
      <c r="J2" s="520"/>
      <c r="K2" s="520"/>
      <c r="L2" s="520"/>
      <c r="M2" s="521"/>
    </row>
    <row r="3" spans="1:17" ht="16.5" customHeight="1" x14ac:dyDescent="0.25">
      <c r="A3" s="526" t="s">
        <v>6</v>
      </c>
      <c r="B3" s="466"/>
      <c r="C3" s="465" t="s">
        <v>27</v>
      </c>
      <c r="D3" s="465" t="s">
        <v>24</v>
      </c>
      <c r="E3" s="497" t="s">
        <v>153</v>
      </c>
      <c r="F3" s="497" t="s">
        <v>154</v>
      </c>
      <c r="G3" s="472" t="s">
        <v>108</v>
      </c>
      <c r="H3" s="472"/>
      <c r="I3" s="472"/>
      <c r="J3" s="465" t="s">
        <v>109</v>
      </c>
      <c r="K3" s="497" t="s">
        <v>110</v>
      </c>
      <c r="L3" s="497" t="s">
        <v>113</v>
      </c>
      <c r="M3" s="522" t="s">
        <v>114</v>
      </c>
    </row>
    <row r="4" spans="1:17" ht="16.5" customHeight="1" x14ac:dyDescent="0.25">
      <c r="A4" s="527"/>
      <c r="B4" s="468"/>
      <c r="C4" s="508"/>
      <c r="D4" s="508"/>
      <c r="E4" s="504"/>
      <c r="F4" s="504"/>
      <c r="G4" s="472"/>
      <c r="H4" s="472"/>
      <c r="I4" s="472"/>
      <c r="J4" s="508"/>
      <c r="K4" s="504"/>
      <c r="L4" s="504"/>
      <c r="M4" s="514"/>
    </row>
    <row r="5" spans="1:17" ht="33.9" customHeight="1" x14ac:dyDescent="0.25">
      <c r="A5" s="525">
        <v>45962</v>
      </c>
      <c r="B5" s="496"/>
      <c r="C5" s="467"/>
      <c r="D5" s="467"/>
      <c r="E5" s="498"/>
      <c r="F5" s="498"/>
      <c r="G5" s="43" t="s">
        <v>115</v>
      </c>
      <c r="H5" s="43" t="s">
        <v>116</v>
      </c>
      <c r="I5" s="43" t="s">
        <v>117</v>
      </c>
      <c r="J5" s="467"/>
      <c r="K5" s="498"/>
      <c r="L5" s="498"/>
      <c r="M5" s="515"/>
    </row>
    <row r="6" spans="1:17" s="356" customFormat="1" ht="20.100000000000001" customHeight="1" x14ac:dyDescent="0.3">
      <c r="A6" s="528" t="s">
        <v>25</v>
      </c>
      <c r="B6" s="529"/>
      <c r="C6" s="422" t="s">
        <v>155</v>
      </c>
      <c r="D6" s="422" t="s">
        <v>155</v>
      </c>
      <c r="E6" s="422" t="s">
        <v>155</v>
      </c>
      <c r="F6" s="422" t="s">
        <v>155</v>
      </c>
      <c r="G6" s="422" t="s">
        <v>155</v>
      </c>
      <c r="H6" s="422" t="s">
        <v>155</v>
      </c>
      <c r="I6" s="422" t="s">
        <v>155</v>
      </c>
      <c r="J6" s="422" t="s">
        <v>155</v>
      </c>
      <c r="K6" s="422" t="s">
        <v>155</v>
      </c>
      <c r="L6" s="422" t="s">
        <v>155</v>
      </c>
      <c r="M6" s="455" t="s">
        <v>155</v>
      </c>
    </row>
    <row r="7" spans="1:17" ht="34.5" customHeight="1" x14ac:dyDescent="0.25">
      <c r="A7" s="530">
        <v>0</v>
      </c>
      <c r="B7" s="531"/>
      <c r="C7" s="441"/>
      <c r="D7" s="441"/>
      <c r="E7" s="441"/>
      <c r="F7" s="441"/>
      <c r="G7" s="441"/>
      <c r="H7" s="441"/>
      <c r="I7" s="441"/>
      <c r="J7" s="441"/>
      <c r="K7" s="441">
        <f>SUM(C7:G7)-H7+I7+J7</f>
        <v>0</v>
      </c>
      <c r="L7" s="441"/>
      <c r="M7" s="442">
        <f>K7+L7</f>
        <v>0</v>
      </c>
      <c r="N7" s="74"/>
      <c r="O7" s="421"/>
      <c r="P7" s="74"/>
      <c r="Q7" s="74"/>
    </row>
    <row r="8" spans="1:17" ht="34.5" customHeight="1" x14ac:dyDescent="0.25">
      <c r="A8" s="517">
        <v>4.1666666666666699E-2</v>
      </c>
      <c r="B8" s="518"/>
      <c r="C8" s="43"/>
      <c r="D8" s="43"/>
      <c r="E8" s="43"/>
      <c r="F8" s="43"/>
      <c r="G8" s="43"/>
      <c r="H8" s="43"/>
      <c r="I8" s="43"/>
      <c r="J8" s="43"/>
      <c r="K8" s="443">
        <f t="shared" ref="K8:K31" si="0">SUM(C8:G8)-H8+I8+J8</f>
        <v>0</v>
      </c>
      <c r="L8" s="443"/>
      <c r="M8" s="454">
        <f t="shared" ref="M8:M31" si="1">K8+L8</f>
        <v>0</v>
      </c>
      <c r="N8" s="74"/>
      <c r="O8" s="421"/>
      <c r="P8" s="74"/>
      <c r="Q8" s="74"/>
    </row>
    <row r="9" spans="1:17" ht="34.5" customHeight="1" x14ac:dyDescent="0.25">
      <c r="A9" s="517">
        <v>8.3333333333333398E-2</v>
      </c>
      <c r="B9" s="518"/>
      <c r="C9" s="43"/>
      <c r="D9" s="43"/>
      <c r="E9" s="43"/>
      <c r="F9" s="43"/>
      <c r="G9" s="43"/>
      <c r="H9" s="43"/>
      <c r="I9" s="43"/>
      <c r="J9" s="43"/>
      <c r="K9" s="443">
        <f t="shared" si="0"/>
        <v>0</v>
      </c>
      <c r="L9" s="443"/>
      <c r="M9" s="454">
        <f t="shared" si="1"/>
        <v>0</v>
      </c>
      <c r="N9" s="74"/>
      <c r="O9" s="421"/>
      <c r="P9" s="74"/>
      <c r="Q9" s="74"/>
    </row>
    <row r="10" spans="1:17" ht="34.5" customHeight="1" x14ac:dyDescent="0.25">
      <c r="A10" s="517">
        <v>7</v>
      </c>
      <c r="B10" s="518"/>
      <c r="C10" s="43"/>
      <c r="D10" s="43"/>
      <c r="E10" s="43"/>
      <c r="F10" s="43"/>
      <c r="G10" s="43"/>
      <c r="H10" s="43"/>
      <c r="I10" s="43"/>
      <c r="J10" s="43"/>
      <c r="K10" s="443">
        <f t="shared" si="0"/>
        <v>0</v>
      </c>
      <c r="L10" s="443"/>
      <c r="M10" s="454">
        <f t="shared" si="1"/>
        <v>0</v>
      </c>
      <c r="N10" s="74"/>
      <c r="O10" s="421"/>
      <c r="P10" s="74"/>
      <c r="Q10" s="74"/>
    </row>
    <row r="11" spans="1:17" ht="34.5" customHeight="1" x14ac:dyDescent="0.25">
      <c r="A11" s="517">
        <v>0.16666666666666699</v>
      </c>
      <c r="B11" s="518"/>
      <c r="C11" s="43"/>
      <c r="D11" s="43"/>
      <c r="E11" s="43"/>
      <c r="F11" s="43"/>
      <c r="G11" s="43"/>
      <c r="H11" s="43"/>
      <c r="I11" s="43"/>
      <c r="J11" s="43"/>
      <c r="K11" s="443">
        <f t="shared" si="0"/>
        <v>0</v>
      </c>
      <c r="L11" s="443"/>
      <c r="M11" s="454">
        <f t="shared" si="1"/>
        <v>0</v>
      </c>
      <c r="N11" s="74"/>
      <c r="O11" s="421"/>
      <c r="P11" s="74"/>
      <c r="Q11" s="74"/>
    </row>
    <row r="12" spans="1:17" ht="34.5" customHeight="1" x14ac:dyDescent="0.25">
      <c r="A12" s="517">
        <v>0.20833333333333301</v>
      </c>
      <c r="B12" s="518"/>
      <c r="C12" s="43"/>
      <c r="D12" s="43"/>
      <c r="E12" s="43"/>
      <c r="F12" s="43"/>
      <c r="G12" s="43"/>
      <c r="H12" s="43"/>
      <c r="I12" s="43"/>
      <c r="J12" s="43"/>
      <c r="K12" s="443">
        <f t="shared" si="0"/>
        <v>0</v>
      </c>
      <c r="L12" s="443"/>
      <c r="M12" s="454">
        <f t="shared" si="1"/>
        <v>0</v>
      </c>
      <c r="N12" s="74"/>
      <c r="O12" s="421"/>
      <c r="P12" s="74"/>
      <c r="Q12" s="74"/>
    </row>
    <row r="13" spans="1:17" ht="34.5" customHeight="1" x14ac:dyDescent="0.25">
      <c r="A13" s="517">
        <v>0.25</v>
      </c>
      <c r="B13" s="518"/>
      <c r="C13" s="43"/>
      <c r="D13" s="43"/>
      <c r="E13" s="43"/>
      <c r="F13" s="43"/>
      <c r="G13" s="43"/>
      <c r="H13" s="43"/>
      <c r="I13" s="43"/>
      <c r="J13" s="43"/>
      <c r="K13" s="443">
        <f t="shared" si="0"/>
        <v>0</v>
      </c>
      <c r="L13" s="443"/>
      <c r="M13" s="454">
        <f t="shared" si="1"/>
        <v>0</v>
      </c>
      <c r="N13" s="74"/>
      <c r="O13" s="421"/>
      <c r="P13" s="74"/>
      <c r="Q13" s="74"/>
    </row>
    <row r="14" spans="1:17" ht="34.5" customHeight="1" x14ac:dyDescent="0.25">
      <c r="A14" s="517">
        <v>0.29166666666666702</v>
      </c>
      <c r="B14" s="518"/>
      <c r="C14" s="43"/>
      <c r="D14" s="43"/>
      <c r="E14" s="43"/>
      <c r="F14" s="43"/>
      <c r="G14" s="43"/>
      <c r="H14" s="43"/>
      <c r="I14" s="43"/>
      <c r="J14" s="43"/>
      <c r="K14" s="443">
        <f t="shared" si="0"/>
        <v>0</v>
      </c>
      <c r="L14" s="443"/>
      <c r="M14" s="454">
        <f t="shared" si="1"/>
        <v>0</v>
      </c>
      <c r="N14" s="74"/>
      <c r="O14" s="421"/>
      <c r="P14" s="74"/>
      <c r="Q14" s="74"/>
    </row>
    <row r="15" spans="1:17" ht="34.5" customHeight="1" x14ac:dyDescent="0.25">
      <c r="A15" s="517">
        <v>0.33333333333333398</v>
      </c>
      <c r="B15" s="518"/>
      <c r="C15" s="43"/>
      <c r="D15" s="43"/>
      <c r="E15" s="43"/>
      <c r="F15" s="43"/>
      <c r="G15" s="43"/>
      <c r="H15" s="43"/>
      <c r="I15" s="43"/>
      <c r="J15" s="43"/>
      <c r="K15" s="443">
        <f t="shared" si="0"/>
        <v>0</v>
      </c>
      <c r="L15" s="443"/>
      <c r="M15" s="454">
        <f t="shared" si="1"/>
        <v>0</v>
      </c>
      <c r="N15" s="74"/>
      <c r="O15" s="421"/>
      <c r="P15" s="74"/>
      <c r="Q15" s="74"/>
    </row>
    <row r="16" spans="1:17" ht="34.5" customHeight="1" x14ac:dyDescent="0.25">
      <c r="A16" s="517">
        <v>0.375</v>
      </c>
      <c r="B16" s="518"/>
      <c r="C16" s="43"/>
      <c r="D16" s="43"/>
      <c r="E16" s="43"/>
      <c r="F16" s="43"/>
      <c r="G16" s="43"/>
      <c r="H16" s="43"/>
      <c r="I16" s="43"/>
      <c r="J16" s="43"/>
      <c r="K16" s="443">
        <f t="shared" si="0"/>
        <v>0</v>
      </c>
      <c r="L16" s="443"/>
      <c r="M16" s="454">
        <f t="shared" si="1"/>
        <v>0</v>
      </c>
      <c r="N16" s="74"/>
      <c r="O16" s="421"/>
      <c r="P16" s="74"/>
      <c r="Q16" s="74"/>
    </row>
    <row r="17" spans="1:17" ht="34.5" customHeight="1" x14ac:dyDescent="0.25">
      <c r="A17" s="517">
        <v>0.41666666666666702</v>
      </c>
      <c r="B17" s="518"/>
      <c r="C17" s="43"/>
      <c r="D17" s="43"/>
      <c r="E17" s="43"/>
      <c r="F17" s="43"/>
      <c r="G17" s="43"/>
      <c r="H17" s="43"/>
      <c r="I17" s="43"/>
      <c r="J17" s="43"/>
      <c r="K17" s="443">
        <f t="shared" si="0"/>
        <v>0</v>
      </c>
      <c r="L17" s="443"/>
      <c r="M17" s="454">
        <f t="shared" si="1"/>
        <v>0</v>
      </c>
      <c r="N17" s="74"/>
      <c r="O17" s="421"/>
      <c r="P17" s="74"/>
      <c r="Q17" s="74"/>
    </row>
    <row r="18" spans="1:17" ht="34.5" customHeight="1" x14ac:dyDescent="0.25">
      <c r="A18" s="517">
        <v>0.45833333333333398</v>
      </c>
      <c r="B18" s="518"/>
      <c r="C18" s="43"/>
      <c r="D18" s="43"/>
      <c r="E18" s="43"/>
      <c r="F18" s="43"/>
      <c r="G18" s="43"/>
      <c r="H18" s="43"/>
      <c r="I18" s="43"/>
      <c r="J18" s="43"/>
      <c r="K18" s="443">
        <f t="shared" si="0"/>
        <v>0</v>
      </c>
      <c r="L18" s="443"/>
      <c r="M18" s="454">
        <f t="shared" si="1"/>
        <v>0</v>
      </c>
      <c r="N18" s="74"/>
      <c r="O18" s="421"/>
      <c r="P18" s="74"/>
      <c r="Q18" s="74"/>
    </row>
    <row r="19" spans="1:17" ht="34.5" customHeight="1" x14ac:dyDescent="0.25">
      <c r="A19" s="517">
        <v>0.5</v>
      </c>
      <c r="B19" s="518"/>
      <c r="C19" s="43"/>
      <c r="D19" s="43"/>
      <c r="E19" s="43"/>
      <c r="F19" s="43"/>
      <c r="G19" s="43"/>
      <c r="H19" s="43"/>
      <c r="I19" s="43"/>
      <c r="J19" s="43"/>
      <c r="K19" s="443">
        <f t="shared" si="0"/>
        <v>0</v>
      </c>
      <c r="L19" s="443"/>
      <c r="M19" s="454">
        <f t="shared" si="1"/>
        <v>0</v>
      </c>
      <c r="N19" s="74"/>
      <c r="O19" s="421"/>
      <c r="P19" s="74"/>
      <c r="Q19" s="74"/>
    </row>
    <row r="20" spans="1:17" ht="34.5" customHeight="1" x14ac:dyDescent="0.25">
      <c r="A20" s="517">
        <v>0.54166666666666696</v>
      </c>
      <c r="B20" s="518"/>
      <c r="C20" s="43"/>
      <c r="D20" s="43"/>
      <c r="E20" s="43"/>
      <c r="F20" s="43"/>
      <c r="G20" s="43"/>
      <c r="H20" s="43"/>
      <c r="I20" s="43"/>
      <c r="J20" s="43"/>
      <c r="K20" s="443">
        <f t="shared" si="0"/>
        <v>0</v>
      </c>
      <c r="L20" s="443"/>
      <c r="M20" s="454">
        <f t="shared" si="1"/>
        <v>0</v>
      </c>
      <c r="N20" s="74"/>
      <c r="O20" s="421"/>
      <c r="P20" s="74"/>
      <c r="Q20" s="74"/>
    </row>
    <row r="21" spans="1:17" ht="34.5" customHeight="1" x14ac:dyDescent="0.25">
      <c r="A21" s="517">
        <v>0.58333333333333404</v>
      </c>
      <c r="B21" s="518"/>
      <c r="C21" s="43"/>
      <c r="D21" s="43"/>
      <c r="E21" s="43"/>
      <c r="F21" s="43"/>
      <c r="G21" s="43"/>
      <c r="H21" s="43"/>
      <c r="I21" s="43"/>
      <c r="J21" s="43"/>
      <c r="K21" s="443">
        <f t="shared" si="0"/>
        <v>0</v>
      </c>
      <c r="L21" s="443"/>
      <c r="M21" s="454">
        <f t="shared" si="1"/>
        <v>0</v>
      </c>
      <c r="N21" s="74"/>
      <c r="O21" s="421"/>
      <c r="P21" s="74"/>
      <c r="Q21" s="74"/>
    </row>
    <row r="22" spans="1:17" ht="34.5" customHeight="1" x14ac:dyDescent="0.25">
      <c r="A22" s="517">
        <v>0.625</v>
      </c>
      <c r="B22" s="518"/>
      <c r="C22" s="43"/>
      <c r="D22" s="43"/>
      <c r="E22" s="43"/>
      <c r="F22" s="43"/>
      <c r="G22" s="43"/>
      <c r="H22" s="43"/>
      <c r="I22" s="43"/>
      <c r="J22" s="43"/>
      <c r="K22" s="443">
        <f t="shared" si="0"/>
        <v>0</v>
      </c>
      <c r="L22" s="443"/>
      <c r="M22" s="454">
        <f t="shared" si="1"/>
        <v>0</v>
      </c>
      <c r="N22" s="74"/>
      <c r="O22" s="421"/>
      <c r="P22" s="74"/>
      <c r="Q22" s="74"/>
    </row>
    <row r="23" spans="1:17" ht="34.5" customHeight="1" x14ac:dyDescent="0.25">
      <c r="A23" s="517">
        <v>0.66666666666666696</v>
      </c>
      <c r="B23" s="518"/>
      <c r="C23" s="43"/>
      <c r="D23" s="43"/>
      <c r="E23" s="43"/>
      <c r="F23" s="43"/>
      <c r="G23" s="43"/>
      <c r="H23" s="43"/>
      <c r="I23" s="43"/>
      <c r="J23" s="43"/>
      <c r="K23" s="443">
        <f t="shared" si="0"/>
        <v>0</v>
      </c>
      <c r="L23" s="443"/>
      <c r="M23" s="454">
        <f t="shared" si="1"/>
        <v>0</v>
      </c>
      <c r="N23" s="74"/>
      <c r="O23" s="421"/>
      <c r="P23" s="74"/>
      <c r="Q23" s="74"/>
    </row>
    <row r="24" spans="1:17" ht="34.5" customHeight="1" x14ac:dyDescent="0.25">
      <c r="A24" s="517">
        <v>0.70833333333333404</v>
      </c>
      <c r="B24" s="518"/>
      <c r="C24" s="43"/>
      <c r="D24" s="43"/>
      <c r="E24" s="43"/>
      <c r="F24" s="43"/>
      <c r="G24" s="43"/>
      <c r="H24" s="43"/>
      <c r="I24" s="43"/>
      <c r="J24" s="43"/>
      <c r="K24" s="443">
        <f t="shared" si="0"/>
        <v>0</v>
      </c>
      <c r="L24" s="443"/>
      <c r="M24" s="454">
        <f t="shared" si="1"/>
        <v>0</v>
      </c>
      <c r="N24" s="74"/>
      <c r="O24" s="421"/>
      <c r="P24" s="74"/>
      <c r="Q24" s="74"/>
    </row>
    <row r="25" spans="1:17" ht="34.5" customHeight="1" x14ac:dyDescent="0.25">
      <c r="A25" s="517">
        <v>0.750000000000001</v>
      </c>
      <c r="B25" s="518"/>
      <c r="C25" s="43"/>
      <c r="D25" s="43"/>
      <c r="E25" s="43"/>
      <c r="F25" s="43"/>
      <c r="G25" s="43"/>
      <c r="H25" s="43"/>
      <c r="I25" s="43"/>
      <c r="J25" s="43"/>
      <c r="K25" s="443">
        <f t="shared" si="0"/>
        <v>0</v>
      </c>
      <c r="L25" s="443"/>
      <c r="M25" s="454">
        <f t="shared" si="1"/>
        <v>0</v>
      </c>
      <c r="N25" s="74"/>
      <c r="O25" s="421"/>
      <c r="P25" s="74"/>
      <c r="Q25" s="74"/>
    </row>
    <row r="26" spans="1:17" ht="34.5" customHeight="1" x14ac:dyDescent="0.25">
      <c r="A26" s="517">
        <v>0.79166666666666696</v>
      </c>
      <c r="B26" s="518"/>
      <c r="C26" s="43"/>
      <c r="D26" s="43"/>
      <c r="E26" s="43"/>
      <c r="F26" s="43"/>
      <c r="G26" s="43"/>
      <c r="H26" s="43"/>
      <c r="I26" s="43"/>
      <c r="J26" s="43"/>
      <c r="K26" s="443">
        <f t="shared" si="0"/>
        <v>0</v>
      </c>
      <c r="L26" s="443"/>
      <c r="M26" s="454">
        <f t="shared" si="1"/>
        <v>0</v>
      </c>
      <c r="N26" s="74"/>
      <c r="O26" s="421"/>
      <c r="P26" s="74"/>
      <c r="Q26" s="74"/>
    </row>
    <row r="27" spans="1:17" ht="34.5" customHeight="1" x14ac:dyDescent="0.25">
      <c r="A27" s="517">
        <v>0.83333333333333404</v>
      </c>
      <c r="B27" s="518"/>
      <c r="C27" s="43"/>
      <c r="D27" s="43"/>
      <c r="E27" s="43"/>
      <c r="F27" s="43"/>
      <c r="G27" s="43"/>
      <c r="H27" s="43"/>
      <c r="I27" s="43"/>
      <c r="J27" s="43"/>
      <c r="K27" s="443">
        <f t="shared" si="0"/>
        <v>0</v>
      </c>
      <c r="L27" s="443"/>
      <c r="M27" s="454">
        <f t="shared" si="1"/>
        <v>0</v>
      </c>
      <c r="N27" s="74"/>
      <c r="O27" s="421"/>
      <c r="P27" s="74"/>
      <c r="Q27" s="74"/>
    </row>
    <row r="28" spans="1:17" ht="34.5" customHeight="1" x14ac:dyDescent="0.25">
      <c r="A28" s="517">
        <v>0.875000000000001</v>
      </c>
      <c r="B28" s="518"/>
      <c r="C28" s="43"/>
      <c r="D28" s="43"/>
      <c r="E28" s="43"/>
      <c r="F28" s="43"/>
      <c r="G28" s="43"/>
      <c r="H28" s="43"/>
      <c r="I28" s="43"/>
      <c r="J28" s="43"/>
      <c r="K28" s="443">
        <f t="shared" si="0"/>
        <v>0</v>
      </c>
      <c r="L28" s="443"/>
      <c r="M28" s="454">
        <f t="shared" si="1"/>
        <v>0</v>
      </c>
      <c r="N28" s="74"/>
      <c r="O28" s="421"/>
      <c r="P28" s="74"/>
      <c r="Q28" s="74"/>
    </row>
    <row r="29" spans="1:17" ht="34.5" customHeight="1" x14ac:dyDescent="0.25">
      <c r="A29" s="517">
        <v>0.91666666666666696</v>
      </c>
      <c r="B29" s="518"/>
      <c r="C29" s="43"/>
      <c r="D29" s="43"/>
      <c r="E29" s="43"/>
      <c r="F29" s="43"/>
      <c r="G29" s="43"/>
      <c r="H29" s="43"/>
      <c r="I29" s="43"/>
      <c r="J29" s="43"/>
      <c r="K29" s="443">
        <f t="shared" si="0"/>
        <v>0</v>
      </c>
      <c r="L29" s="443"/>
      <c r="M29" s="454">
        <f t="shared" si="1"/>
        <v>0</v>
      </c>
      <c r="N29" s="74"/>
      <c r="O29" s="421"/>
      <c r="P29" s="74"/>
      <c r="Q29" s="74"/>
    </row>
    <row r="30" spans="1:17" ht="34.5" customHeight="1" x14ac:dyDescent="0.25">
      <c r="A30" s="534">
        <v>0.95833333333333404</v>
      </c>
      <c r="B30" s="535"/>
      <c r="C30" s="43"/>
      <c r="D30" s="43"/>
      <c r="E30" s="43"/>
      <c r="F30" s="43"/>
      <c r="G30" s="43"/>
      <c r="H30" s="43"/>
      <c r="I30" s="43"/>
      <c r="J30" s="43"/>
      <c r="K30" s="443">
        <f t="shared" si="0"/>
        <v>0</v>
      </c>
      <c r="L30" s="443"/>
      <c r="M30" s="454">
        <f t="shared" si="1"/>
        <v>0</v>
      </c>
      <c r="N30" s="74"/>
      <c r="O30" s="421"/>
      <c r="P30" s="74"/>
      <c r="Q30" s="74"/>
    </row>
    <row r="31" spans="1:17" ht="34.5" customHeight="1" thickBot="1" x14ac:dyDescent="0.3">
      <c r="A31" s="517">
        <v>0</v>
      </c>
      <c r="B31" s="518"/>
      <c r="C31" s="444"/>
      <c r="D31" s="444"/>
      <c r="E31" s="444"/>
      <c r="F31" s="444"/>
      <c r="G31" s="444"/>
      <c r="H31" s="444"/>
      <c r="I31" s="444"/>
      <c r="J31" s="444"/>
      <c r="K31" s="443">
        <f t="shared" si="0"/>
        <v>0</v>
      </c>
      <c r="L31" s="443"/>
      <c r="M31" s="454">
        <f t="shared" si="1"/>
        <v>0</v>
      </c>
      <c r="N31" s="74"/>
      <c r="O31" s="421"/>
      <c r="P31" s="74"/>
      <c r="Q31" s="74"/>
    </row>
    <row r="32" spans="1:17" ht="21.9" customHeight="1" thickBot="1" x14ac:dyDescent="0.3">
      <c r="A32" s="532" t="s">
        <v>48</v>
      </c>
      <c r="B32" s="533"/>
      <c r="C32" s="445">
        <f>SUM(C8:C31)</f>
        <v>0</v>
      </c>
      <c r="D32" s="445">
        <f t="shared" ref="D32:M32" si="2">SUM(D8:D31)</f>
        <v>0</v>
      </c>
      <c r="E32" s="445">
        <f t="shared" si="2"/>
        <v>0</v>
      </c>
      <c r="F32" s="445">
        <f t="shared" si="2"/>
        <v>0</v>
      </c>
      <c r="G32" s="445">
        <f t="shared" si="2"/>
        <v>0</v>
      </c>
      <c r="H32" s="445">
        <f t="shared" si="2"/>
        <v>0</v>
      </c>
      <c r="I32" s="445"/>
      <c r="J32" s="445">
        <f t="shared" si="2"/>
        <v>0</v>
      </c>
      <c r="K32" s="445">
        <f t="shared" si="2"/>
        <v>0</v>
      </c>
      <c r="L32" s="445">
        <f t="shared" si="2"/>
        <v>0</v>
      </c>
      <c r="M32" s="446">
        <f t="shared" si="2"/>
        <v>0</v>
      </c>
    </row>
    <row r="33" spans="1:13" ht="21.9" customHeight="1" x14ac:dyDescent="0.25">
      <c r="A33" s="424"/>
      <c r="B33" s="424"/>
      <c r="C33" s="425"/>
      <c r="D33" s="425"/>
      <c r="E33" s="426"/>
      <c r="F33" s="427"/>
      <c r="G33" s="427"/>
      <c r="H33" s="427"/>
      <c r="I33" s="427"/>
      <c r="J33" s="427"/>
      <c r="K33" s="427"/>
      <c r="L33" s="426"/>
    </row>
    <row r="34" spans="1:13" ht="21.9" customHeight="1" x14ac:dyDescent="0.25"/>
    <row r="35" spans="1:13" s="423" customFormat="1" ht="18" customHeight="1" x14ac:dyDescent="0.25">
      <c r="A35" s="2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s="356" customFormat="1" ht="18" customHeight="1" x14ac:dyDescent="0.25">
      <c r="A36" s="2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5.9" customHeight="1" x14ac:dyDescent="0.25"/>
    <row r="38" spans="1:13" ht="15.9" customHeight="1" x14ac:dyDescent="0.25"/>
  </sheetData>
  <mergeCells count="41">
    <mergeCell ref="A1:C1"/>
    <mergeCell ref="L1:M1"/>
    <mergeCell ref="A2:M2"/>
    <mergeCell ref="A3:B4"/>
    <mergeCell ref="C3:C5"/>
    <mergeCell ref="D3:D5"/>
    <mergeCell ref="E3:E5"/>
    <mergeCell ref="F3:F5"/>
    <mergeCell ref="G3:I4"/>
    <mergeCell ref="J3:J5"/>
    <mergeCell ref="A13:B13"/>
    <mergeCell ref="K3:K5"/>
    <mergeCell ref="L3:L5"/>
    <mergeCell ref="M3:M5"/>
    <mergeCell ref="A5:B5"/>
    <mergeCell ref="A6:B6"/>
    <mergeCell ref="A7:B7"/>
    <mergeCell ref="A8:B8"/>
    <mergeCell ref="A9:B9"/>
    <mergeCell ref="A10:B10"/>
    <mergeCell ref="A11:B11"/>
    <mergeCell ref="A12:B12"/>
    <mergeCell ref="A25:B25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32:B32"/>
    <mergeCell ref="A26:B26"/>
    <mergeCell ref="A27:B27"/>
    <mergeCell ref="A28:B28"/>
    <mergeCell ref="A29:B29"/>
    <mergeCell ref="A30:B30"/>
    <mergeCell ref="A31:B31"/>
  </mergeCells>
  <pageMargins left="0.23622047244094491" right="0.23622047244094491" top="0" bottom="0" header="0.31496062992125984" footer="0.31496062992125984"/>
  <pageSetup paperSize="9" scale="70" orientation="landscape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17F89-71B8-4470-8EE1-483A6ECDC441}">
  <sheetPr>
    <pageSetUpPr fitToPage="1"/>
  </sheetPr>
  <dimension ref="A1:Q38"/>
  <sheetViews>
    <sheetView showGridLines="0" zoomScale="60" zoomScaleNormal="55" zoomScaleSheetLayoutView="70" workbookViewId="0">
      <selection activeCell="G3" sqref="G3:I6"/>
    </sheetView>
  </sheetViews>
  <sheetFormatPr defaultColWidth="9.109375" defaultRowHeight="13.8" x14ac:dyDescent="0.25"/>
  <cols>
    <col min="1" max="2" width="14.5546875" style="2" customWidth="1"/>
    <col min="3" max="10" width="22.5546875" style="1" customWidth="1"/>
    <col min="11" max="13" width="24.5546875" style="1" customWidth="1"/>
    <col min="14" max="14" width="12.88671875" style="1" bestFit="1" customWidth="1"/>
    <col min="15" max="16384" width="9.109375" style="1"/>
  </cols>
  <sheetData>
    <row r="1" spans="1:17" ht="61.5" customHeight="1" thickBot="1" x14ac:dyDescent="0.3">
      <c r="A1" s="516" t="s">
        <v>119</v>
      </c>
      <c r="B1" s="516"/>
      <c r="C1" s="516"/>
      <c r="L1" s="523" t="s">
        <v>120</v>
      </c>
      <c r="M1" s="524"/>
    </row>
    <row r="2" spans="1:17" ht="31.5" customHeight="1" x14ac:dyDescent="0.25">
      <c r="A2" s="519" t="s">
        <v>121</v>
      </c>
      <c r="B2" s="520"/>
      <c r="C2" s="520"/>
      <c r="D2" s="520"/>
      <c r="E2" s="520"/>
      <c r="F2" s="520"/>
      <c r="G2" s="520"/>
      <c r="H2" s="520"/>
      <c r="I2" s="520"/>
      <c r="J2" s="520"/>
      <c r="K2" s="520"/>
      <c r="L2" s="520"/>
      <c r="M2" s="521"/>
    </row>
    <row r="3" spans="1:17" ht="16.5" customHeight="1" x14ac:dyDescent="0.25">
      <c r="A3" s="526" t="s">
        <v>6</v>
      </c>
      <c r="B3" s="466"/>
      <c r="C3" s="465" t="s">
        <v>27</v>
      </c>
      <c r="D3" s="465" t="s">
        <v>24</v>
      </c>
      <c r="E3" s="497" t="s">
        <v>153</v>
      </c>
      <c r="F3" s="497" t="s">
        <v>154</v>
      </c>
      <c r="G3" s="472" t="s">
        <v>108</v>
      </c>
      <c r="H3" s="472"/>
      <c r="I3" s="472"/>
      <c r="J3" s="465" t="s">
        <v>109</v>
      </c>
      <c r="K3" s="497" t="s">
        <v>110</v>
      </c>
      <c r="L3" s="497" t="s">
        <v>113</v>
      </c>
      <c r="M3" s="522" t="s">
        <v>114</v>
      </c>
    </row>
    <row r="4" spans="1:17" ht="16.5" customHeight="1" x14ac:dyDescent="0.25">
      <c r="A4" s="527"/>
      <c r="B4" s="468"/>
      <c r="C4" s="508"/>
      <c r="D4" s="508"/>
      <c r="E4" s="504"/>
      <c r="F4" s="504"/>
      <c r="G4" s="472"/>
      <c r="H4" s="472"/>
      <c r="I4" s="472"/>
      <c r="J4" s="508"/>
      <c r="K4" s="504"/>
      <c r="L4" s="504"/>
      <c r="M4" s="514"/>
    </row>
    <row r="5" spans="1:17" ht="33.9" customHeight="1" x14ac:dyDescent="0.25">
      <c r="A5" s="525">
        <v>45962</v>
      </c>
      <c r="B5" s="496"/>
      <c r="C5" s="467"/>
      <c r="D5" s="467"/>
      <c r="E5" s="498"/>
      <c r="F5" s="498"/>
      <c r="G5" s="43" t="s">
        <v>115</v>
      </c>
      <c r="H5" s="43" t="s">
        <v>116</v>
      </c>
      <c r="I5" s="43" t="s">
        <v>117</v>
      </c>
      <c r="J5" s="467"/>
      <c r="K5" s="498"/>
      <c r="L5" s="498"/>
      <c r="M5" s="515"/>
    </row>
    <row r="6" spans="1:17" s="356" customFormat="1" ht="20.100000000000001" customHeight="1" x14ac:dyDescent="0.3">
      <c r="A6" s="528" t="s">
        <v>25</v>
      </c>
      <c r="B6" s="529"/>
      <c r="C6" s="422" t="s">
        <v>155</v>
      </c>
      <c r="D6" s="422" t="s">
        <v>155</v>
      </c>
      <c r="E6" s="422" t="s">
        <v>155</v>
      </c>
      <c r="F6" s="422" t="s">
        <v>155</v>
      </c>
      <c r="G6" s="422" t="s">
        <v>155</v>
      </c>
      <c r="H6" s="422" t="s">
        <v>155</v>
      </c>
      <c r="I6" s="422" t="s">
        <v>155</v>
      </c>
      <c r="J6" s="422" t="s">
        <v>155</v>
      </c>
      <c r="K6" s="422" t="s">
        <v>155</v>
      </c>
      <c r="L6" s="422" t="s">
        <v>155</v>
      </c>
      <c r="M6" s="455" t="s">
        <v>155</v>
      </c>
    </row>
    <row r="7" spans="1:17" ht="34.5" customHeight="1" x14ac:dyDescent="0.25">
      <c r="A7" s="530">
        <v>0</v>
      </c>
      <c r="B7" s="531"/>
      <c r="C7" s="441"/>
      <c r="D7" s="441"/>
      <c r="E7" s="441"/>
      <c r="F7" s="441"/>
      <c r="G7" s="441"/>
      <c r="H7" s="441"/>
      <c r="I7" s="441"/>
      <c r="J7" s="441"/>
      <c r="K7" s="441">
        <f>SUM(C7:G7)-H7+I7+J7</f>
        <v>0</v>
      </c>
      <c r="L7" s="441"/>
      <c r="M7" s="442">
        <f>K7+L7</f>
        <v>0</v>
      </c>
      <c r="N7" s="74"/>
      <c r="O7" s="421"/>
      <c r="P7" s="74"/>
      <c r="Q7" s="74"/>
    </row>
    <row r="8" spans="1:17" ht="34.5" customHeight="1" x14ac:dyDescent="0.25">
      <c r="A8" s="517">
        <v>4.1666666666666699E-2</v>
      </c>
      <c r="B8" s="518"/>
      <c r="C8" s="43"/>
      <c r="D8" s="43"/>
      <c r="E8" s="43"/>
      <c r="F8" s="43"/>
      <c r="G8" s="43"/>
      <c r="H8" s="43"/>
      <c r="I8" s="43"/>
      <c r="J8" s="43"/>
      <c r="K8" s="443">
        <f t="shared" ref="K8:K31" si="0">SUM(C8:G8)-H8+I8+J8</f>
        <v>0</v>
      </c>
      <c r="L8" s="443"/>
      <c r="M8" s="454">
        <f t="shared" ref="M8:M31" si="1">K8+L8</f>
        <v>0</v>
      </c>
      <c r="N8" s="74"/>
      <c r="O8" s="421"/>
      <c r="P8" s="74"/>
      <c r="Q8" s="74"/>
    </row>
    <row r="9" spans="1:17" ht="34.5" customHeight="1" x14ac:dyDescent="0.25">
      <c r="A9" s="517">
        <v>8.3333333333333398E-2</v>
      </c>
      <c r="B9" s="518"/>
      <c r="C9" s="43"/>
      <c r="D9" s="43"/>
      <c r="E9" s="43"/>
      <c r="F9" s="43"/>
      <c r="G9" s="43"/>
      <c r="H9" s="43"/>
      <c r="I9" s="43"/>
      <c r="J9" s="43"/>
      <c r="K9" s="443">
        <f t="shared" si="0"/>
        <v>0</v>
      </c>
      <c r="L9" s="443"/>
      <c r="M9" s="454">
        <f t="shared" si="1"/>
        <v>0</v>
      </c>
      <c r="N9" s="74"/>
      <c r="O9" s="421"/>
      <c r="P9" s="74"/>
      <c r="Q9" s="74"/>
    </row>
    <row r="10" spans="1:17" ht="34.5" customHeight="1" x14ac:dyDescent="0.25">
      <c r="A10" s="517">
        <v>7</v>
      </c>
      <c r="B10" s="518"/>
      <c r="C10" s="43"/>
      <c r="D10" s="43"/>
      <c r="E10" s="43"/>
      <c r="F10" s="43"/>
      <c r="G10" s="43"/>
      <c r="H10" s="43"/>
      <c r="I10" s="43"/>
      <c r="J10" s="43"/>
      <c r="K10" s="443">
        <f t="shared" si="0"/>
        <v>0</v>
      </c>
      <c r="L10" s="443"/>
      <c r="M10" s="454">
        <f t="shared" si="1"/>
        <v>0</v>
      </c>
      <c r="N10" s="74"/>
      <c r="O10" s="421"/>
      <c r="P10" s="74"/>
      <c r="Q10" s="74"/>
    </row>
    <row r="11" spans="1:17" ht="34.5" customHeight="1" x14ac:dyDescent="0.25">
      <c r="A11" s="517">
        <v>0.16666666666666699</v>
      </c>
      <c r="B11" s="518"/>
      <c r="C11" s="43"/>
      <c r="D11" s="43"/>
      <c r="E11" s="43"/>
      <c r="F11" s="43"/>
      <c r="G11" s="43"/>
      <c r="H11" s="43"/>
      <c r="I11" s="43"/>
      <c r="J11" s="43"/>
      <c r="K11" s="443">
        <f t="shared" si="0"/>
        <v>0</v>
      </c>
      <c r="L11" s="443"/>
      <c r="M11" s="454">
        <f t="shared" si="1"/>
        <v>0</v>
      </c>
      <c r="N11" s="74"/>
      <c r="O11" s="421"/>
      <c r="P11" s="74"/>
      <c r="Q11" s="74"/>
    </row>
    <row r="12" spans="1:17" ht="34.5" customHeight="1" x14ac:dyDescent="0.25">
      <c r="A12" s="517">
        <v>0.20833333333333301</v>
      </c>
      <c r="B12" s="518"/>
      <c r="C12" s="43"/>
      <c r="D12" s="43"/>
      <c r="E12" s="43"/>
      <c r="F12" s="43"/>
      <c r="G12" s="43"/>
      <c r="H12" s="43"/>
      <c r="I12" s="43"/>
      <c r="J12" s="43"/>
      <c r="K12" s="443">
        <f t="shared" si="0"/>
        <v>0</v>
      </c>
      <c r="L12" s="443"/>
      <c r="M12" s="454">
        <f t="shared" si="1"/>
        <v>0</v>
      </c>
      <c r="N12" s="74"/>
      <c r="O12" s="421"/>
      <c r="P12" s="74"/>
      <c r="Q12" s="74"/>
    </row>
    <row r="13" spans="1:17" ht="34.5" customHeight="1" x14ac:dyDescent="0.25">
      <c r="A13" s="517">
        <v>0.25</v>
      </c>
      <c r="B13" s="518"/>
      <c r="C13" s="43"/>
      <c r="D13" s="43"/>
      <c r="E13" s="43"/>
      <c r="F13" s="43"/>
      <c r="G13" s="43"/>
      <c r="H13" s="43"/>
      <c r="I13" s="43"/>
      <c r="J13" s="43"/>
      <c r="K13" s="443">
        <f t="shared" si="0"/>
        <v>0</v>
      </c>
      <c r="L13" s="443"/>
      <c r="M13" s="454">
        <f t="shared" si="1"/>
        <v>0</v>
      </c>
      <c r="N13" s="74"/>
      <c r="O13" s="421"/>
      <c r="P13" s="74"/>
      <c r="Q13" s="74"/>
    </row>
    <row r="14" spans="1:17" ht="34.5" customHeight="1" x14ac:dyDescent="0.25">
      <c r="A14" s="517">
        <v>0.29166666666666702</v>
      </c>
      <c r="B14" s="518"/>
      <c r="C14" s="43"/>
      <c r="D14" s="43"/>
      <c r="E14" s="43"/>
      <c r="F14" s="43"/>
      <c r="G14" s="43"/>
      <c r="H14" s="43"/>
      <c r="I14" s="43"/>
      <c r="J14" s="43"/>
      <c r="K14" s="443">
        <f t="shared" si="0"/>
        <v>0</v>
      </c>
      <c r="L14" s="443"/>
      <c r="M14" s="454">
        <f t="shared" si="1"/>
        <v>0</v>
      </c>
      <c r="N14" s="74"/>
      <c r="O14" s="421"/>
      <c r="P14" s="74"/>
      <c r="Q14" s="74"/>
    </row>
    <row r="15" spans="1:17" ht="34.5" customHeight="1" x14ac:dyDescent="0.25">
      <c r="A15" s="517">
        <v>0.33333333333333398</v>
      </c>
      <c r="B15" s="518"/>
      <c r="C15" s="43"/>
      <c r="D15" s="43"/>
      <c r="E15" s="43"/>
      <c r="F15" s="43"/>
      <c r="G15" s="43"/>
      <c r="H15" s="43"/>
      <c r="I15" s="43"/>
      <c r="J15" s="43"/>
      <c r="K15" s="443">
        <f t="shared" si="0"/>
        <v>0</v>
      </c>
      <c r="L15" s="443"/>
      <c r="M15" s="454">
        <f t="shared" si="1"/>
        <v>0</v>
      </c>
      <c r="N15" s="74"/>
      <c r="O15" s="421"/>
      <c r="P15" s="74"/>
      <c r="Q15" s="74"/>
    </row>
    <row r="16" spans="1:17" ht="34.5" customHeight="1" x14ac:dyDescent="0.25">
      <c r="A16" s="517">
        <v>0.375</v>
      </c>
      <c r="B16" s="518"/>
      <c r="C16" s="43"/>
      <c r="D16" s="43"/>
      <c r="E16" s="43"/>
      <c r="F16" s="43"/>
      <c r="G16" s="43"/>
      <c r="H16" s="43"/>
      <c r="I16" s="43"/>
      <c r="J16" s="43"/>
      <c r="K16" s="443">
        <f t="shared" si="0"/>
        <v>0</v>
      </c>
      <c r="L16" s="443"/>
      <c r="M16" s="454">
        <f t="shared" si="1"/>
        <v>0</v>
      </c>
      <c r="N16" s="74"/>
      <c r="O16" s="421"/>
      <c r="P16" s="74"/>
      <c r="Q16" s="74"/>
    </row>
    <row r="17" spans="1:17" ht="34.5" customHeight="1" x14ac:dyDescent="0.25">
      <c r="A17" s="517">
        <v>0.41666666666666702</v>
      </c>
      <c r="B17" s="518"/>
      <c r="C17" s="43"/>
      <c r="D17" s="43"/>
      <c r="E17" s="43"/>
      <c r="F17" s="43"/>
      <c r="G17" s="43"/>
      <c r="H17" s="43"/>
      <c r="I17" s="43"/>
      <c r="J17" s="43"/>
      <c r="K17" s="443">
        <f t="shared" si="0"/>
        <v>0</v>
      </c>
      <c r="L17" s="443"/>
      <c r="M17" s="454">
        <f t="shared" si="1"/>
        <v>0</v>
      </c>
      <c r="N17" s="74"/>
      <c r="O17" s="421"/>
      <c r="P17" s="74"/>
      <c r="Q17" s="74"/>
    </row>
    <row r="18" spans="1:17" ht="34.5" customHeight="1" x14ac:dyDescent="0.25">
      <c r="A18" s="517">
        <v>0.45833333333333398</v>
      </c>
      <c r="B18" s="518"/>
      <c r="C18" s="43"/>
      <c r="D18" s="43"/>
      <c r="E18" s="43"/>
      <c r="F18" s="43"/>
      <c r="G18" s="43"/>
      <c r="H18" s="43"/>
      <c r="I18" s="43"/>
      <c r="J18" s="43"/>
      <c r="K18" s="443">
        <f t="shared" si="0"/>
        <v>0</v>
      </c>
      <c r="L18" s="443"/>
      <c r="M18" s="454">
        <f t="shared" si="1"/>
        <v>0</v>
      </c>
      <c r="N18" s="74"/>
      <c r="O18" s="421"/>
      <c r="P18" s="74"/>
      <c r="Q18" s="74"/>
    </row>
    <row r="19" spans="1:17" ht="34.5" customHeight="1" x14ac:dyDescent="0.25">
      <c r="A19" s="517">
        <v>0.5</v>
      </c>
      <c r="B19" s="518"/>
      <c r="C19" s="43"/>
      <c r="D19" s="43"/>
      <c r="E19" s="43"/>
      <c r="F19" s="43"/>
      <c r="G19" s="43"/>
      <c r="H19" s="43"/>
      <c r="I19" s="43"/>
      <c r="J19" s="43"/>
      <c r="K19" s="443">
        <f t="shared" si="0"/>
        <v>0</v>
      </c>
      <c r="L19" s="443"/>
      <c r="M19" s="454">
        <f t="shared" si="1"/>
        <v>0</v>
      </c>
      <c r="N19" s="74"/>
      <c r="O19" s="421"/>
      <c r="P19" s="74"/>
      <c r="Q19" s="74"/>
    </row>
    <row r="20" spans="1:17" ht="34.5" customHeight="1" x14ac:dyDescent="0.25">
      <c r="A20" s="517">
        <v>0.54166666666666696</v>
      </c>
      <c r="B20" s="518"/>
      <c r="C20" s="43"/>
      <c r="D20" s="43"/>
      <c r="E20" s="43"/>
      <c r="F20" s="43"/>
      <c r="G20" s="43"/>
      <c r="H20" s="43"/>
      <c r="I20" s="43"/>
      <c r="J20" s="43"/>
      <c r="K20" s="443">
        <f t="shared" si="0"/>
        <v>0</v>
      </c>
      <c r="L20" s="443"/>
      <c r="M20" s="454">
        <f t="shared" si="1"/>
        <v>0</v>
      </c>
      <c r="N20" s="74"/>
      <c r="O20" s="421"/>
      <c r="P20" s="74"/>
      <c r="Q20" s="74"/>
    </row>
    <row r="21" spans="1:17" ht="34.5" customHeight="1" x14ac:dyDescent="0.25">
      <c r="A21" s="517">
        <v>0.58333333333333404</v>
      </c>
      <c r="B21" s="518"/>
      <c r="C21" s="43"/>
      <c r="D21" s="43"/>
      <c r="E21" s="43"/>
      <c r="F21" s="43"/>
      <c r="G21" s="43"/>
      <c r="H21" s="43"/>
      <c r="I21" s="43"/>
      <c r="J21" s="43"/>
      <c r="K21" s="443">
        <f t="shared" si="0"/>
        <v>0</v>
      </c>
      <c r="L21" s="443"/>
      <c r="M21" s="454">
        <f t="shared" si="1"/>
        <v>0</v>
      </c>
      <c r="N21" s="74"/>
      <c r="O21" s="421"/>
      <c r="P21" s="74"/>
      <c r="Q21" s="74"/>
    </row>
    <row r="22" spans="1:17" ht="34.5" customHeight="1" x14ac:dyDescent="0.25">
      <c r="A22" s="517">
        <v>0.625</v>
      </c>
      <c r="B22" s="518"/>
      <c r="C22" s="43"/>
      <c r="D22" s="43"/>
      <c r="E22" s="43"/>
      <c r="F22" s="43"/>
      <c r="G22" s="43"/>
      <c r="H22" s="43"/>
      <c r="I22" s="43"/>
      <c r="J22" s="43"/>
      <c r="K22" s="443">
        <f t="shared" si="0"/>
        <v>0</v>
      </c>
      <c r="L22" s="443"/>
      <c r="M22" s="454">
        <f t="shared" si="1"/>
        <v>0</v>
      </c>
      <c r="N22" s="74"/>
      <c r="O22" s="421"/>
      <c r="P22" s="74"/>
      <c r="Q22" s="74"/>
    </row>
    <row r="23" spans="1:17" ht="34.5" customHeight="1" x14ac:dyDescent="0.25">
      <c r="A23" s="517">
        <v>0.66666666666666696</v>
      </c>
      <c r="B23" s="518"/>
      <c r="C23" s="43"/>
      <c r="D23" s="43"/>
      <c r="E23" s="43"/>
      <c r="F23" s="43"/>
      <c r="G23" s="43"/>
      <c r="H23" s="43"/>
      <c r="I23" s="43"/>
      <c r="J23" s="43"/>
      <c r="K23" s="443">
        <f t="shared" si="0"/>
        <v>0</v>
      </c>
      <c r="L23" s="443"/>
      <c r="M23" s="454">
        <f t="shared" si="1"/>
        <v>0</v>
      </c>
      <c r="N23" s="74"/>
      <c r="O23" s="421"/>
      <c r="P23" s="74"/>
      <c r="Q23" s="74"/>
    </row>
    <row r="24" spans="1:17" ht="34.5" customHeight="1" x14ac:dyDescent="0.25">
      <c r="A24" s="517">
        <v>0.70833333333333404</v>
      </c>
      <c r="B24" s="518"/>
      <c r="C24" s="43"/>
      <c r="D24" s="43"/>
      <c r="E24" s="43"/>
      <c r="F24" s="43"/>
      <c r="G24" s="43"/>
      <c r="H24" s="43"/>
      <c r="I24" s="43"/>
      <c r="J24" s="43"/>
      <c r="K24" s="443">
        <f t="shared" si="0"/>
        <v>0</v>
      </c>
      <c r="L24" s="443"/>
      <c r="M24" s="454">
        <f t="shared" si="1"/>
        <v>0</v>
      </c>
      <c r="N24" s="74"/>
      <c r="O24" s="421"/>
      <c r="P24" s="74"/>
      <c r="Q24" s="74"/>
    </row>
    <row r="25" spans="1:17" ht="34.5" customHeight="1" x14ac:dyDescent="0.25">
      <c r="A25" s="517">
        <v>0.750000000000001</v>
      </c>
      <c r="B25" s="518"/>
      <c r="C25" s="43"/>
      <c r="D25" s="43"/>
      <c r="E25" s="43"/>
      <c r="F25" s="43"/>
      <c r="G25" s="43"/>
      <c r="H25" s="43"/>
      <c r="I25" s="43"/>
      <c r="J25" s="43"/>
      <c r="K25" s="443">
        <f t="shared" si="0"/>
        <v>0</v>
      </c>
      <c r="L25" s="443"/>
      <c r="M25" s="454">
        <f t="shared" si="1"/>
        <v>0</v>
      </c>
      <c r="N25" s="74"/>
      <c r="O25" s="421"/>
      <c r="P25" s="74"/>
      <c r="Q25" s="74"/>
    </row>
    <row r="26" spans="1:17" ht="34.5" customHeight="1" x14ac:dyDescent="0.25">
      <c r="A26" s="517">
        <v>0.79166666666666696</v>
      </c>
      <c r="B26" s="518"/>
      <c r="C26" s="43"/>
      <c r="D26" s="43"/>
      <c r="E26" s="43"/>
      <c r="F26" s="43"/>
      <c r="G26" s="43"/>
      <c r="H26" s="43"/>
      <c r="I26" s="43"/>
      <c r="J26" s="43"/>
      <c r="K26" s="443">
        <f t="shared" si="0"/>
        <v>0</v>
      </c>
      <c r="L26" s="443"/>
      <c r="M26" s="454">
        <f t="shared" si="1"/>
        <v>0</v>
      </c>
      <c r="N26" s="74"/>
      <c r="O26" s="421"/>
      <c r="P26" s="74"/>
      <c r="Q26" s="74"/>
    </row>
    <row r="27" spans="1:17" ht="34.5" customHeight="1" x14ac:dyDescent="0.25">
      <c r="A27" s="517">
        <v>0.83333333333333404</v>
      </c>
      <c r="B27" s="518"/>
      <c r="C27" s="43"/>
      <c r="D27" s="43"/>
      <c r="E27" s="43"/>
      <c r="F27" s="43"/>
      <c r="G27" s="43"/>
      <c r="H27" s="43"/>
      <c r="I27" s="43"/>
      <c r="J27" s="43"/>
      <c r="K27" s="443">
        <f t="shared" si="0"/>
        <v>0</v>
      </c>
      <c r="L27" s="443"/>
      <c r="M27" s="454">
        <f t="shared" si="1"/>
        <v>0</v>
      </c>
      <c r="N27" s="74"/>
      <c r="O27" s="421"/>
      <c r="P27" s="74"/>
      <c r="Q27" s="74"/>
    </row>
    <row r="28" spans="1:17" ht="34.5" customHeight="1" x14ac:dyDescent="0.25">
      <c r="A28" s="517">
        <v>0.875000000000001</v>
      </c>
      <c r="B28" s="518"/>
      <c r="C28" s="43"/>
      <c r="D28" s="43"/>
      <c r="E28" s="43"/>
      <c r="F28" s="43"/>
      <c r="G28" s="43"/>
      <c r="H28" s="43"/>
      <c r="I28" s="43"/>
      <c r="J28" s="43"/>
      <c r="K28" s="443">
        <f t="shared" si="0"/>
        <v>0</v>
      </c>
      <c r="L28" s="443"/>
      <c r="M28" s="454">
        <f t="shared" si="1"/>
        <v>0</v>
      </c>
      <c r="N28" s="74"/>
      <c r="O28" s="421"/>
      <c r="P28" s="74"/>
      <c r="Q28" s="74"/>
    </row>
    <row r="29" spans="1:17" ht="34.5" customHeight="1" x14ac:dyDescent="0.25">
      <c r="A29" s="517">
        <v>0.91666666666666696</v>
      </c>
      <c r="B29" s="518"/>
      <c r="C29" s="43"/>
      <c r="D29" s="43"/>
      <c r="E29" s="43"/>
      <c r="F29" s="43"/>
      <c r="G29" s="43"/>
      <c r="H29" s="43"/>
      <c r="I29" s="43"/>
      <c r="J29" s="43"/>
      <c r="K29" s="443">
        <f t="shared" si="0"/>
        <v>0</v>
      </c>
      <c r="L29" s="443"/>
      <c r="M29" s="454">
        <f t="shared" si="1"/>
        <v>0</v>
      </c>
      <c r="N29" s="74"/>
      <c r="O29" s="421"/>
      <c r="P29" s="74"/>
      <c r="Q29" s="74"/>
    </row>
    <row r="30" spans="1:17" ht="34.5" customHeight="1" x14ac:dyDescent="0.25">
      <c r="A30" s="534">
        <v>0.95833333333333404</v>
      </c>
      <c r="B30" s="535"/>
      <c r="C30" s="43"/>
      <c r="D30" s="43"/>
      <c r="E30" s="43"/>
      <c r="F30" s="43"/>
      <c r="G30" s="43"/>
      <c r="H30" s="43"/>
      <c r="I30" s="43"/>
      <c r="J30" s="43"/>
      <c r="K30" s="443">
        <f t="shared" si="0"/>
        <v>0</v>
      </c>
      <c r="L30" s="443"/>
      <c r="M30" s="454">
        <f t="shared" si="1"/>
        <v>0</v>
      </c>
      <c r="N30" s="74"/>
      <c r="O30" s="421"/>
      <c r="P30" s="74"/>
      <c r="Q30" s="74"/>
    </row>
    <row r="31" spans="1:17" ht="34.5" customHeight="1" thickBot="1" x14ac:dyDescent="0.3">
      <c r="A31" s="517">
        <v>0</v>
      </c>
      <c r="B31" s="518"/>
      <c r="C31" s="444"/>
      <c r="D31" s="444"/>
      <c r="E31" s="444"/>
      <c r="F31" s="444"/>
      <c r="G31" s="444"/>
      <c r="H31" s="444"/>
      <c r="I31" s="444"/>
      <c r="J31" s="444"/>
      <c r="K31" s="443">
        <f t="shared" si="0"/>
        <v>0</v>
      </c>
      <c r="L31" s="443"/>
      <c r="M31" s="454">
        <f t="shared" si="1"/>
        <v>0</v>
      </c>
      <c r="N31" s="74"/>
      <c r="O31" s="421"/>
      <c r="P31" s="74"/>
      <c r="Q31" s="74"/>
    </row>
    <row r="32" spans="1:17" ht="21.9" customHeight="1" thickBot="1" x14ac:dyDescent="0.3">
      <c r="A32" s="532" t="s">
        <v>48</v>
      </c>
      <c r="B32" s="533"/>
      <c r="C32" s="445">
        <f>SUM(C8:C31)</f>
        <v>0</v>
      </c>
      <c r="D32" s="445">
        <f t="shared" ref="D32:M32" si="2">SUM(D8:D31)</f>
        <v>0</v>
      </c>
      <c r="E32" s="445">
        <f t="shared" si="2"/>
        <v>0</v>
      </c>
      <c r="F32" s="445">
        <f t="shared" si="2"/>
        <v>0</v>
      </c>
      <c r="G32" s="445">
        <f t="shared" si="2"/>
        <v>0</v>
      </c>
      <c r="H32" s="445">
        <f t="shared" si="2"/>
        <v>0</v>
      </c>
      <c r="I32" s="445"/>
      <c r="J32" s="445">
        <f t="shared" si="2"/>
        <v>0</v>
      </c>
      <c r="K32" s="445">
        <f t="shared" si="2"/>
        <v>0</v>
      </c>
      <c r="L32" s="445">
        <f t="shared" si="2"/>
        <v>0</v>
      </c>
      <c r="M32" s="446">
        <f t="shared" si="2"/>
        <v>0</v>
      </c>
    </row>
    <row r="33" spans="1:13" ht="21.9" customHeight="1" x14ac:dyDescent="0.25">
      <c r="A33" s="424"/>
      <c r="B33" s="424"/>
      <c r="C33" s="425"/>
      <c r="D33" s="425"/>
      <c r="E33" s="426"/>
      <c r="F33" s="427"/>
      <c r="G33" s="427"/>
      <c r="H33" s="427"/>
      <c r="I33" s="427"/>
      <c r="J33" s="427"/>
      <c r="K33" s="427"/>
      <c r="L33" s="426"/>
    </row>
    <row r="34" spans="1:13" ht="21.9" customHeight="1" x14ac:dyDescent="0.25"/>
    <row r="35" spans="1:13" s="423" customFormat="1" ht="18" customHeight="1" x14ac:dyDescent="0.25">
      <c r="A35" s="2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s="356" customFormat="1" ht="18" customHeight="1" x14ac:dyDescent="0.25">
      <c r="A36" s="2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5.9" customHeight="1" x14ac:dyDescent="0.25"/>
    <row r="38" spans="1:13" ht="15.9" customHeight="1" x14ac:dyDescent="0.25"/>
  </sheetData>
  <mergeCells count="41">
    <mergeCell ref="A1:C1"/>
    <mergeCell ref="L1:M1"/>
    <mergeCell ref="A2:M2"/>
    <mergeCell ref="A3:B4"/>
    <mergeCell ref="C3:C5"/>
    <mergeCell ref="D3:D5"/>
    <mergeCell ref="E3:E5"/>
    <mergeCell ref="F3:F5"/>
    <mergeCell ref="G3:I4"/>
    <mergeCell ref="J3:J5"/>
    <mergeCell ref="A13:B13"/>
    <mergeCell ref="K3:K5"/>
    <mergeCell ref="L3:L5"/>
    <mergeCell ref="M3:M5"/>
    <mergeCell ref="A5:B5"/>
    <mergeCell ref="A6:B6"/>
    <mergeCell ref="A7:B7"/>
    <mergeCell ref="A8:B8"/>
    <mergeCell ref="A9:B9"/>
    <mergeCell ref="A10:B10"/>
    <mergeCell ref="A11:B11"/>
    <mergeCell ref="A12:B12"/>
    <mergeCell ref="A25:B25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32:B32"/>
    <mergeCell ref="A26:B26"/>
    <mergeCell ref="A27:B27"/>
    <mergeCell ref="A28:B28"/>
    <mergeCell ref="A29:B29"/>
    <mergeCell ref="A30:B30"/>
    <mergeCell ref="A31:B31"/>
  </mergeCells>
  <pageMargins left="0.23622047244094491" right="0.23622047244094491" top="0" bottom="0" header="0.31496062992125984" footer="0.31496062992125984"/>
  <pageSetup paperSize="9" scale="70" orientation="landscape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905D2-3FC1-452C-AD65-100F8CD17EFB}">
  <sheetPr>
    <pageSetUpPr fitToPage="1"/>
  </sheetPr>
  <dimension ref="A1:Q38"/>
  <sheetViews>
    <sheetView showGridLines="0" zoomScale="60" zoomScaleNormal="55" zoomScaleSheetLayoutView="70" workbookViewId="0">
      <selection activeCell="G3" sqref="G3:I6"/>
    </sheetView>
  </sheetViews>
  <sheetFormatPr defaultColWidth="9.109375" defaultRowHeight="13.8" x14ac:dyDescent="0.25"/>
  <cols>
    <col min="1" max="2" width="14.5546875" style="2" customWidth="1"/>
    <col min="3" max="10" width="22.5546875" style="1" customWidth="1"/>
    <col min="11" max="13" width="24.5546875" style="1" customWidth="1"/>
    <col min="14" max="14" width="12.88671875" style="1" bestFit="1" customWidth="1"/>
    <col min="15" max="16384" width="9.109375" style="1"/>
  </cols>
  <sheetData>
    <row r="1" spans="1:17" ht="61.5" customHeight="1" thickBot="1" x14ac:dyDescent="0.3">
      <c r="A1" s="516" t="s">
        <v>119</v>
      </c>
      <c r="B1" s="516"/>
      <c r="C1" s="516"/>
      <c r="L1" s="523" t="s">
        <v>120</v>
      </c>
      <c r="M1" s="524"/>
    </row>
    <row r="2" spans="1:17" ht="31.5" customHeight="1" x14ac:dyDescent="0.25">
      <c r="A2" s="519" t="s">
        <v>121</v>
      </c>
      <c r="B2" s="520"/>
      <c r="C2" s="520"/>
      <c r="D2" s="520"/>
      <c r="E2" s="520"/>
      <c r="F2" s="520"/>
      <c r="G2" s="520"/>
      <c r="H2" s="520"/>
      <c r="I2" s="520"/>
      <c r="J2" s="520"/>
      <c r="K2" s="520"/>
      <c r="L2" s="520"/>
      <c r="M2" s="521"/>
    </row>
    <row r="3" spans="1:17" ht="16.5" customHeight="1" x14ac:dyDescent="0.25">
      <c r="A3" s="526" t="s">
        <v>6</v>
      </c>
      <c r="B3" s="466"/>
      <c r="C3" s="465" t="s">
        <v>27</v>
      </c>
      <c r="D3" s="465" t="s">
        <v>24</v>
      </c>
      <c r="E3" s="497" t="s">
        <v>153</v>
      </c>
      <c r="F3" s="497" t="s">
        <v>154</v>
      </c>
      <c r="G3" s="472" t="s">
        <v>108</v>
      </c>
      <c r="H3" s="472"/>
      <c r="I3" s="472"/>
      <c r="J3" s="465" t="s">
        <v>109</v>
      </c>
      <c r="K3" s="497" t="s">
        <v>110</v>
      </c>
      <c r="L3" s="497" t="s">
        <v>113</v>
      </c>
      <c r="M3" s="522" t="s">
        <v>114</v>
      </c>
    </row>
    <row r="4" spans="1:17" ht="16.5" customHeight="1" x14ac:dyDescent="0.25">
      <c r="A4" s="527"/>
      <c r="B4" s="468"/>
      <c r="C4" s="508"/>
      <c r="D4" s="508"/>
      <c r="E4" s="504"/>
      <c r="F4" s="504"/>
      <c r="G4" s="472"/>
      <c r="H4" s="472"/>
      <c r="I4" s="472"/>
      <c r="J4" s="508"/>
      <c r="K4" s="504"/>
      <c r="L4" s="504"/>
      <c r="M4" s="514"/>
    </row>
    <row r="5" spans="1:17" ht="33.9" customHeight="1" x14ac:dyDescent="0.25">
      <c r="A5" s="525">
        <v>45962</v>
      </c>
      <c r="B5" s="496"/>
      <c r="C5" s="467"/>
      <c r="D5" s="467"/>
      <c r="E5" s="498"/>
      <c r="F5" s="498"/>
      <c r="G5" s="43" t="s">
        <v>115</v>
      </c>
      <c r="H5" s="43" t="s">
        <v>116</v>
      </c>
      <c r="I5" s="43" t="s">
        <v>117</v>
      </c>
      <c r="J5" s="467"/>
      <c r="K5" s="498"/>
      <c r="L5" s="498"/>
      <c r="M5" s="515"/>
    </row>
    <row r="6" spans="1:17" s="356" customFormat="1" ht="20.100000000000001" customHeight="1" x14ac:dyDescent="0.3">
      <c r="A6" s="528" t="s">
        <v>25</v>
      </c>
      <c r="B6" s="529"/>
      <c r="C6" s="422" t="s">
        <v>155</v>
      </c>
      <c r="D6" s="422" t="s">
        <v>155</v>
      </c>
      <c r="E6" s="422" t="s">
        <v>155</v>
      </c>
      <c r="F6" s="422" t="s">
        <v>155</v>
      </c>
      <c r="G6" s="422" t="s">
        <v>155</v>
      </c>
      <c r="H6" s="422" t="s">
        <v>155</v>
      </c>
      <c r="I6" s="422" t="s">
        <v>155</v>
      </c>
      <c r="J6" s="422" t="s">
        <v>155</v>
      </c>
      <c r="K6" s="422" t="s">
        <v>155</v>
      </c>
      <c r="L6" s="422" t="s">
        <v>155</v>
      </c>
      <c r="M6" s="455" t="s">
        <v>155</v>
      </c>
    </row>
    <row r="7" spans="1:17" ht="34.5" customHeight="1" x14ac:dyDescent="0.25">
      <c r="A7" s="530">
        <v>0</v>
      </c>
      <c r="B7" s="531"/>
      <c r="C7" s="441"/>
      <c r="D7" s="441"/>
      <c r="E7" s="441"/>
      <c r="F7" s="441"/>
      <c r="G7" s="441"/>
      <c r="H7" s="441"/>
      <c r="I7" s="441"/>
      <c r="J7" s="441"/>
      <c r="K7" s="441">
        <f>SUM(C7:G7)-H7+I7+J7</f>
        <v>0</v>
      </c>
      <c r="L7" s="441"/>
      <c r="M7" s="442">
        <f>K7+L7</f>
        <v>0</v>
      </c>
      <c r="N7" s="74"/>
      <c r="O7" s="421"/>
      <c r="P7" s="74"/>
      <c r="Q7" s="74"/>
    </row>
    <row r="8" spans="1:17" ht="34.5" customHeight="1" x14ac:dyDescent="0.25">
      <c r="A8" s="517">
        <v>4.1666666666666699E-2</v>
      </c>
      <c r="B8" s="518"/>
      <c r="C8" s="43"/>
      <c r="D8" s="43"/>
      <c r="E8" s="43"/>
      <c r="F8" s="43"/>
      <c r="G8" s="43"/>
      <c r="H8" s="43"/>
      <c r="I8" s="43"/>
      <c r="J8" s="43"/>
      <c r="K8" s="443">
        <f t="shared" ref="K8:K31" si="0">SUM(C8:G8)-H8+I8+J8</f>
        <v>0</v>
      </c>
      <c r="L8" s="443"/>
      <c r="M8" s="454">
        <f t="shared" ref="M8:M31" si="1">K8+L8</f>
        <v>0</v>
      </c>
      <c r="N8" s="74"/>
      <c r="O8" s="421"/>
      <c r="P8" s="74"/>
      <c r="Q8" s="74"/>
    </row>
    <row r="9" spans="1:17" ht="34.5" customHeight="1" x14ac:dyDescent="0.25">
      <c r="A9" s="517">
        <v>8.3333333333333398E-2</v>
      </c>
      <c r="B9" s="518"/>
      <c r="C9" s="43"/>
      <c r="D9" s="43"/>
      <c r="E9" s="43"/>
      <c r="F9" s="43"/>
      <c r="G9" s="43"/>
      <c r="H9" s="43"/>
      <c r="I9" s="43"/>
      <c r="J9" s="43"/>
      <c r="K9" s="443">
        <f t="shared" si="0"/>
        <v>0</v>
      </c>
      <c r="L9" s="443"/>
      <c r="M9" s="454">
        <f t="shared" si="1"/>
        <v>0</v>
      </c>
      <c r="N9" s="74"/>
      <c r="O9" s="421"/>
      <c r="P9" s="74"/>
      <c r="Q9" s="74"/>
    </row>
    <row r="10" spans="1:17" ht="34.5" customHeight="1" x14ac:dyDescent="0.25">
      <c r="A10" s="517">
        <v>7</v>
      </c>
      <c r="B10" s="518"/>
      <c r="C10" s="43"/>
      <c r="D10" s="43"/>
      <c r="E10" s="43"/>
      <c r="F10" s="43"/>
      <c r="G10" s="43"/>
      <c r="H10" s="43"/>
      <c r="I10" s="43"/>
      <c r="J10" s="43"/>
      <c r="K10" s="443">
        <f t="shared" si="0"/>
        <v>0</v>
      </c>
      <c r="L10" s="443"/>
      <c r="M10" s="454">
        <f t="shared" si="1"/>
        <v>0</v>
      </c>
      <c r="N10" s="74"/>
      <c r="O10" s="421"/>
      <c r="P10" s="74"/>
      <c r="Q10" s="74"/>
    </row>
    <row r="11" spans="1:17" ht="34.5" customHeight="1" x14ac:dyDescent="0.25">
      <c r="A11" s="517">
        <v>0.16666666666666699</v>
      </c>
      <c r="B11" s="518"/>
      <c r="C11" s="43"/>
      <c r="D11" s="43"/>
      <c r="E11" s="43"/>
      <c r="F11" s="43"/>
      <c r="G11" s="43"/>
      <c r="H11" s="43"/>
      <c r="I11" s="43"/>
      <c r="J11" s="43"/>
      <c r="K11" s="443">
        <f t="shared" si="0"/>
        <v>0</v>
      </c>
      <c r="L11" s="443"/>
      <c r="M11" s="454">
        <f t="shared" si="1"/>
        <v>0</v>
      </c>
      <c r="N11" s="74"/>
      <c r="O11" s="421"/>
      <c r="P11" s="74"/>
      <c r="Q11" s="74"/>
    </row>
    <row r="12" spans="1:17" ht="34.5" customHeight="1" x14ac:dyDescent="0.25">
      <c r="A12" s="517">
        <v>0.20833333333333301</v>
      </c>
      <c r="B12" s="518"/>
      <c r="C12" s="43"/>
      <c r="D12" s="43"/>
      <c r="E12" s="43"/>
      <c r="F12" s="43"/>
      <c r="G12" s="43"/>
      <c r="H12" s="43"/>
      <c r="I12" s="43"/>
      <c r="J12" s="43"/>
      <c r="K12" s="443">
        <f t="shared" si="0"/>
        <v>0</v>
      </c>
      <c r="L12" s="443"/>
      <c r="M12" s="454">
        <f t="shared" si="1"/>
        <v>0</v>
      </c>
      <c r="N12" s="74"/>
      <c r="O12" s="421"/>
      <c r="P12" s="74"/>
      <c r="Q12" s="74"/>
    </row>
    <row r="13" spans="1:17" ht="34.5" customHeight="1" x14ac:dyDescent="0.25">
      <c r="A13" s="517">
        <v>0.25</v>
      </c>
      <c r="B13" s="518"/>
      <c r="C13" s="43"/>
      <c r="D13" s="43"/>
      <c r="E13" s="43"/>
      <c r="F13" s="43"/>
      <c r="G13" s="43"/>
      <c r="H13" s="43"/>
      <c r="I13" s="43"/>
      <c r="J13" s="43"/>
      <c r="K13" s="443">
        <f t="shared" si="0"/>
        <v>0</v>
      </c>
      <c r="L13" s="443"/>
      <c r="M13" s="454">
        <f t="shared" si="1"/>
        <v>0</v>
      </c>
      <c r="N13" s="74"/>
      <c r="O13" s="421"/>
      <c r="P13" s="74"/>
      <c r="Q13" s="74"/>
    </row>
    <row r="14" spans="1:17" ht="34.5" customHeight="1" x14ac:dyDescent="0.25">
      <c r="A14" s="517">
        <v>0.29166666666666702</v>
      </c>
      <c r="B14" s="518"/>
      <c r="C14" s="43"/>
      <c r="D14" s="43"/>
      <c r="E14" s="43"/>
      <c r="F14" s="43"/>
      <c r="G14" s="43"/>
      <c r="H14" s="43"/>
      <c r="I14" s="43"/>
      <c r="J14" s="43"/>
      <c r="K14" s="443">
        <f t="shared" si="0"/>
        <v>0</v>
      </c>
      <c r="L14" s="443"/>
      <c r="M14" s="454">
        <f t="shared" si="1"/>
        <v>0</v>
      </c>
      <c r="N14" s="74"/>
      <c r="O14" s="421"/>
      <c r="P14" s="74"/>
      <c r="Q14" s="74"/>
    </row>
    <row r="15" spans="1:17" ht="34.5" customHeight="1" x14ac:dyDescent="0.25">
      <c r="A15" s="517">
        <v>0.33333333333333398</v>
      </c>
      <c r="B15" s="518"/>
      <c r="C15" s="43"/>
      <c r="D15" s="43"/>
      <c r="E15" s="43"/>
      <c r="F15" s="43"/>
      <c r="G15" s="43"/>
      <c r="H15" s="43"/>
      <c r="I15" s="43"/>
      <c r="J15" s="43"/>
      <c r="K15" s="443">
        <f t="shared" si="0"/>
        <v>0</v>
      </c>
      <c r="L15" s="443"/>
      <c r="M15" s="454">
        <f t="shared" si="1"/>
        <v>0</v>
      </c>
      <c r="N15" s="74"/>
      <c r="O15" s="421"/>
      <c r="P15" s="74"/>
      <c r="Q15" s="74"/>
    </row>
    <row r="16" spans="1:17" ht="34.5" customHeight="1" x14ac:dyDescent="0.25">
      <c r="A16" s="517">
        <v>0.375</v>
      </c>
      <c r="B16" s="518"/>
      <c r="C16" s="43"/>
      <c r="D16" s="43"/>
      <c r="E16" s="43"/>
      <c r="F16" s="43"/>
      <c r="G16" s="43"/>
      <c r="H16" s="43"/>
      <c r="I16" s="43"/>
      <c r="J16" s="43"/>
      <c r="K16" s="443">
        <f t="shared" si="0"/>
        <v>0</v>
      </c>
      <c r="L16" s="443"/>
      <c r="M16" s="454">
        <f t="shared" si="1"/>
        <v>0</v>
      </c>
      <c r="N16" s="74"/>
      <c r="O16" s="421"/>
      <c r="P16" s="74"/>
      <c r="Q16" s="74"/>
    </row>
    <row r="17" spans="1:17" ht="34.5" customHeight="1" x14ac:dyDescent="0.25">
      <c r="A17" s="517">
        <v>0.41666666666666702</v>
      </c>
      <c r="B17" s="518"/>
      <c r="C17" s="43"/>
      <c r="D17" s="43"/>
      <c r="E17" s="43"/>
      <c r="F17" s="43"/>
      <c r="G17" s="43"/>
      <c r="H17" s="43"/>
      <c r="I17" s="43"/>
      <c r="J17" s="43"/>
      <c r="K17" s="443">
        <f t="shared" si="0"/>
        <v>0</v>
      </c>
      <c r="L17" s="443"/>
      <c r="M17" s="454">
        <f t="shared" si="1"/>
        <v>0</v>
      </c>
      <c r="N17" s="74"/>
      <c r="O17" s="421"/>
      <c r="P17" s="74"/>
      <c r="Q17" s="74"/>
    </row>
    <row r="18" spans="1:17" ht="34.5" customHeight="1" x14ac:dyDescent="0.25">
      <c r="A18" s="517">
        <v>0.45833333333333398</v>
      </c>
      <c r="B18" s="518"/>
      <c r="C18" s="43"/>
      <c r="D18" s="43"/>
      <c r="E18" s="43"/>
      <c r="F18" s="43"/>
      <c r="G18" s="43"/>
      <c r="H18" s="43"/>
      <c r="I18" s="43"/>
      <c r="J18" s="43"/>
      <c r="K18" s="443">
        <f t="shared" si="0"/>
        <v>0</v>
      </c>
      <c r="L18" s="443"/>
      <c r="M18" s="454">
        <f t="shared" si="1"/>
        <v>0</v>
      </c>
      <c r="N18" s="74"/>
      <c r="O18" s="421"/>
      <c r="P18" s="74"/>
      <c r="Q18" s="74"/>
    </row>
    <row r="19" spans="1:17" ht="34.5" customHeight="1" x14ac:dyDescent="0.25">
      <c r="A19" s="517">
        <v>0.5</v>
      </c>
      <c r="B19" s="518"/>
      <c r="C19" s="43"/>
      <c r="D19" s="43"/>
      <c r="E19" s="43"/>
      <c r="F19" s="43"/>
      <c r="G19" s="43"/>
      <c r="H19" s="43"/>
      <c r="I19" s="43"/>
      <c r="J19" s="43"/>
      <c r="K19" s="443">
        <f t="shared" si="0"/>
        <v>0</v>
      </c>
      <c r="L19" s="443"/>
      <c r="M19" s="454">
        <f t="shared" si="1"/>
        <v>0</v>
      </c>
      <c r="N19" s="74"/>
      <c r="O19" s="421"/>
      <c r="P19" s="74"/>
      <c r="Q19" s="74"/>
    </row>
    <row r="20" spans="1:17" ht="34.5" customHeight="1" x14ac:dyDescent="0.25">
      <c r="A20" s="517">
        <v>0.54166666666666696</v>
      </c>
      <c r="B20" s="518"/>
      <c r="C20" s="43"/>
      <c r="D20" s="43"/>
      <c r="E20" s="43"/>
      <c r="F20" s="43"/>
      <c r="G20" s="43"/>
      <c r="H20" s="43"/>
      <c r="I20" s="43"/>
      <c r="J20" s="43"/>
      <c r="K20" s="443">
        <f t="shared" si="0"/>
        <v>0</v>
      </c>
      <c r="L20" s="443"/>
      <c r="M20" s="454">
        <f t="shared" si="1"/>
        <v>0</v>
      </c>
      <c r="N20" s="74"/>
      <c r="O20" s="421"/>
      <c r="P20" s="74"/>
      <c r="Q20" s="74"/>
    </row>
    <row r="21" spans="1:17" ht="34.5" customHeight="1" x14ac:dyDescent="0.25">
      <c r="A21" s="517">
        <v>0.58333333333333404</v>
      </c>
      <c r="B21" s="518"/>
      <c r="C21" s="43"/>
      <c r="D21" s="43"/>
      <c r="E21" s="43"/>
      <c r="F21" s="43"/>
      <c r="G21" s="43"/>
      <c r="H21" s="43"/>
      <c r="I21" s="43"/>
      <c r="J21" s="43"/>
      <c r="K21" s="443">
        <f t="shared" si="0"/>
        <v>0</v>
      </c>
      <c r="L21" s="443"/>
      <c r="M21" s="454">
        <f t="shared" si="1"/>
        <v>0</v>
      </c>
      <c r="N21" s="74"/>
      <c r="O21" s="421"/>
      <c r="P21" s="74"/>
      <c r="Q21" s="74"/>
    </row>
    <row r="22" spans="1:17" ht="34.5" customHeight="1" x14ac:dyDescent="0.25">
      <c r="A22" s="517">
        <v>0.625</v>
      </c>
      <c r="B22" s="518"/>
      <c r="C22" s="43"/>
      <c r="D22" s="43"/>
      <c r="E22" s="43"/>
      <c r="F22" s="43"/>
      <c r="G22" s="43"/>
      <c r="H22" s="43"/>
      <c r="I22" s="43"/>
      <c r="J22" s="43"/>
      <c r="K22" s="443">
        <f t="shared" si="0"/>
        <v>0</v>
      </c>
      <c r="L22" s="443"/>
      <c r="M22" s="454">
        <f t="shared" si="1"/>
        <v>0</v>
      </c>
      <c r="N22" s="74"/>
      <c r="O22" s="421"/>
      <c r="P22" s="74"/>
      <c r="Q22" s="74"/>
    </row>
    <row r="23" spans="1:17" ht="34.5" customHeight="1" x14ac:dyDescent="0.25">
      <c r="A23" s="517">
        <v>0.66666666666666696</v>
      </c>
      <c r="B23" s="518"/>
      <c r="C23" s="43"/>
      <c r="D23" s="43"/>
      <c r="E23" s="43"/>
      <c r="F23" s="43"/>
      <c r="G23" s="43"/>
      <c r="H23" s="43"/>
      <c r="I23" s="43"/>
      <c r="J23" s="43"/>
      <c r="K23" s="443">
        <f t="shared" si="0"/>
        <v>0</v>
      </c>
      <c r="L23" s="443"/>
      <c r="M23" s="454">
        <f t="shared" si="1"/>
        <v>0</v>
      </c>
      <c r="N23" s="74"/>
      <c r="O23" s="421"/>
      <c r="P23" s="74"/>
      <c r="Q23" s="74"/>
    </row>
    <row r="24" spans="1:17" ht="34.5" customHeight="1" x14ac:dyDescent="0.25">
      <c r="A24" s="517">
        <v>0.70833333333333404</v>
      </c>
      <c r="B24" s="518"/>
      <c r="C24" s="43"/>
      <c r="D24" s="43"/>
      <c r="E24" s="43"/>
      <c r="F24" s="43"/>
      <c r="G24" s="43"/>
      <c r="H24" s="43"/>
      <c r="I24" s="43"/>
      <c r="J24" s="43"/>
      <c r="K24" s="443">
        <f t="shared" si="0"/>
        <v>0</v>
      </c>
      <c r="L24" s="443"/>
      <c r="M24" s="454">
        <f t="shared" si="1"/>
        <v>0</v>
      </c>
      <c r="N24" s="74"/>
      <c r="O24" s="421"/>
      <c r="P24" s="74"/>
      <c r="Q24" s="74"/>
    </row>
    <row r="25" spans="1:17" ht="34.5" customHeight="1" x14ac:dyDescent="0.25">
      <c r="A25" s="517">
        <v>0.750000000000001</v>
      </c>
      <c r="B25" s="518"/>
      <c r="C25" s="43"/>
      <c r="D25" s="43"/>
      <c r="E25" s="43"/>
      <c r="F25" s="43"/>
      <c r="G25" s="43"/>
      <c r="H25" s="43"/>
      <c r="I25" s="43"/>
      <c r="J25" s="43"/>
      <c r="K25" s="443">
        <f t="shared" si="0"/>
        <v>0</v>
      </c>
      <c r="L25" s="443"/>
      <c r="M25" s="454">
        <f t="shared" si="1"/>
        <v>0</v>
      </c>
      <c r="N25" s="74"/>
      <c r="O25" s="421"/>
      <c r="P25" s="74"/>
      <c r="Q25" s="74"/>
    </row>
    <row r="26" spans="1:17" ht="34.5" customHeight="1" x14ac:dyDescent="0.25">
      <c r="A26" s="517">
        <v>0.79166666666666696</v>
      </c>
      <c r="B26" s="518"/>
      <c r="C26" s="43"/>
      <c r="D26" s="43"/>
      <c r="E26" s="43"/>
      <c r="F26" s="43"/>
      <c r="G26" s="43"/>
      <c r="H26" s="43"/>
      <c r="I26" s="43"/>
      <c r="J26" s="43"/>
      <c r="K26" s="443">
        <f t="shared" si="0"/>
        <v>0</v>
      </c>
      <c r="L26" s="443"/>
      <c r="M26" s="454">
        <f t="shared" si="1"/>
        <v>0</v>
      </c>
      <c r="N26" s="74"/>
      <c r="O26" s="421"/>
      <c r="P26" s="74"/>
      <c r="Q26" s="74"/>
    </row>
    <row r="27" spans="1:17" ht="34.5" customHeight="1" x14ac:dyDescent="0.25">
      <c r="A27" s="517">
        <v>0.83333333333333404</v>
      </c>
      <c r="B27" s="518"/>
      <c r="C27" s="43"/>
      <c r="D27" s="43"/>
      <c r="E27" s="43"/>
      <c r="F27" s="43"/>
      <c r="G27" s="43"/>
      <c r="H27" s="43"/>
      <c r="I27" s="43"/>
      <c r="J27" s="43"/>
      <c r="K27" s="443">
        <f t="shared" si="0"/>
        <v>0</v>
      </c>
      <c r="L27" s="443"/>
      <c r="M27" s="454">
        <f t="shared" si="1"/>
        <v>0</v>
      </c>
      <c r="N27" s="74"/>
      <c r="O27" s="421"/>
      <c r="P27" s="74"/>
      <c r="Q27" s="74"/>
    </row>
    <row r="28" spans="1:17" ht="34.5" customHeight="1" x14ac:dyDescent="0.25">
      <c r="A28" s="517">
        <v>0.875000000000001</v>
      </c>
      <c r="B28" s="518"/>
      <c r="C28" s="43"/>
      <c r="D28" s="43"/>
      <c r="E28" s="43"/>
      <c r="F28" s="43"/>
      <c r="G28" s="43"/>
      <c r="H28" s="43"/>
      <c r="I28" s="43"/>
      <c r="J28" s="43"/>
      <c r="K28" s="443">
        <f t="shared" si="0"/>
        <v>0</v>
      </c>
      <c r="L28" s="443"/>
      <c r="M28" s="454">
        <f t="shared" si="1"/>
        <v>0</v>
      </c>
      <c r="N28" s="74"/>
      <c r="O28" s="421"/>
      <c r="P28" s="74"/>
      <c r="Q28" s="74"/>
    </row>
    <row r="29" spans="1:17" ht="34.5" customHeight="1" x14ac:dyDescent="0.25">
      <c r="A29" s="517">
        <v>0.91666666666666696</v>
      </c>
      <c r="B29" s="518"/>
      <c r="C29" s="43"/>
      <c r="D29" s="43"/>
      <c r="E29" s="43"/>
      <c r="F29" s="43"/>
      <c r="G29" s="43"/>
      <c r="H29" s="43"/>
      <c r="I29" s="43"/>
      <c r="J29" s="43"/>
      <c r="K29" s="443">
        <f t="shared" si="0"/>
        <v>0</v>
      </c>
      <c r="L29" s="443"/>
      <c r="M29" s="454">
        <f t="shared" si="1"/>
        <v>0</v>
      </c>
      <c r="N29" s="74"/>
      <c r="O29" s="421"/>
      <c r="P29" s="74"/>
      <c r="Q29" s="74"/>
    </row>
    <row r="30" spans="1:17" ht="34.5" customHeight="1" x14ac:dyDescent="0.25">
      <c r="A30" s="534">
        <v>0.95833333333333404</v>
      </c>
      <c r="B30" s="535"/>
      <c r="C30" s="43"/>
      <c r="D30" s="43"/>
      <c r="E30" s="43"/>
      <c r="F30" s="43"/>
      <c r="G30" s="43"/>
      <c r="H30" s="43"/>
      <c r="I30" s="43"/>
      <c r="J30" s="43"/>
      <c r="K30" s="443">
        <f t="shared" si="0"/>
        <v>0</v>
      </c>
      <c r="L30" s="443"/>
      <c r="M30" s="454">
        <f t="shared" si="1"/>
        <v>0</v>
      </c>
      <c r="N30" s="74"/>
      <c r="O30" s="421"/>
      <c r="P30" s="74"/>
      <c r="Q30" s="74"/>
    </row>
    <row r="31" spans="1:17" ht="34.5" customHeight="1" thickBot="1" x14ac:dyDescent="0.3">
      <c r="A31" s="517">
        <v>0</v>
      </c>
      <c r="B31" s="518"/>
      <c r="C31" s="444"/>
      <c r="D31" s="444"/>
      <c r="E31" s="444"/>
      <c r="F31" s="444"/>
      <c r="G31" s="444"/>
      <c r="H31" s="444"/>
      <c r="I31" s="444"/>
      <c r="J31" s="444"/>
      <c r="K31" s="443">
        <f t="shared" si="0"/>
        <v>0</v>
      </c>
      <c r="L31" s="443"/>
      <c r="M31" s="454">
        <f t="shared" si="1"/>
        <v>0</v>
      </c>
      <c r="N31" s="74"/>
      <c r="O31" s="421"/>
      <c r="P31" s="74"/>
      <c r="Q31" s="74"/>
    </row>
    <row r="32" spans="1:17" ht="21.9" customHeight="1" thickBot="1" x14ac:dyDescent="0.3">
      <c r="A32" s="532" t="s">
        <v>48</v>
      </c>
      <c r="B32" s="533"/>
      <c r="C32" s="445">
        <f>SUM(C8:C31)</f>
        <v>0</v>
      </c>
      <c r="D32" s="445">
        <f t="shared" ref="D32:M32" si="2">SUM(D8:D31)</f>
        <v>0</v>
      </c>
      <c r="E32" s="445">
        <f t="shared" si="2"/>
        <v>0</v>
      </c>
      <c r="F32" s="445">
        <f t="shared" si="2"/>
        <v>0</v>
      </c>
      <c r="G32" s="445">
        <f t="shared" si="2"/>
        <v>0</v>
      </c>
      <c r="H32" s="445">
        <f t="shared" si="2"/>
        <v>0</v>
      </c>
      <c r="I32" s="445"/>
      <c r="J32" s="445">
        <f t="shared" si="2"/>
        <v>0</v>
      </c>
      <c r="K32" s="445">
        <f t="shared" si="2"/>
        <v>0</v>
      </c>
      <c r="L32" s="445">
        <f t="shared" si="2"/>
        <v>0</v>
      </c>
      <c r="M32" s="446">
        <f t="shared" si="2"/>
        <v>0</v>
      </c>
    </row>
    <row r="33" spans="1:13" ht="21.9" customHeight="1" x14ac:dyDescent="0.25">
      <c r="A33" s="424"/>
      <c r="B33" s="424"/>
      <c r="C33" s="425"/>
      <c r="D33" s="425"/>
      <c r="E33" s="426"/>
      <c r="F33" s="427"/>
      <c r="G33" s="427"/>
      <c r="H33" s="427"/>
      <c r="I33" s="427"/>
      <c r="J33" s="427"/>
      <c r="K33" s="427"/>
      <c r="L33" s="426"/>
    </row>
    <row r="34" spans="1:13" ht="21.9" customHeight="1" x14ac:dyDescent="0.25"/>
    <row r="35" spans="1:13" s="423" customFormat="1" ht="18" customHeight="1" x14ac:dyDescent="0.25">
      <c r="A35" s="2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s="356" customFormat="1" ht="18" customHeight="1" x14ac:dyDescent="0.25">
      <c r="A36" s="2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5.9" customHeight="1" x14ac:dyDescent="0.25"/>
    <row r="38" spans="1:13" ht="15.9" customHeight="1" x14ac:dyDescent="0.25"/>
  </sheetData>
  <mergeCells count="41">
    <mergeCell ref="A1:C1"/>
    <mergeCell ref="L1:M1"/>
    <mergeCell ref="A2:M2"/>
    <mergeCell ref="A3:B4"/>
    <mergeCell ref="C3:C5"/>
    <mergeCell ref="D3:D5"/>
    <mergeCell ref="E3:E5"/>
    <mergeCell ref="F3:F5"/>
    <mergeCell ref="G3:I4"/>
    <mergeCell ref="J3:J5"/>
    <mergeCell ref="A13:B13"/>
    <mergeCell ref="K3:K5"/>
    <mergeCell ref="L3:L5"/>
    <mergeCell ref="M3:M5"/>
    <mergeCell ref="A5:B5"/>
    <mergeCell ref="A6:B6"/>
    <mergeCell ref="A7:B7"/>
    <mergeCell ref="A8:B8"/>
    <mergeCell ref="A9:B9"/>
    <mergeCell ref="A10:B10"/>
    <mergeCell ref="A11:B11"/>
    <mergeCell ref="A12:B12"/>
    <mergeCell ref="A25:B25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32:B32"/>
    <mergeCell ref="A26:B26"/>
    <mergeCell ref="A27:B27"/>
    <mergeCell ref="A28:B28"/>
    <mergeCell ref="A29:B29"/>
    <mergeCell ref="A30:B30"/>
    <mergeCell ref="A31:B31"/>
  </mergeCells>
  <pageMargins left="0.23622047244094491" right="0.23622047244094491" top="0" bottom="0" header="0.31496062992125984" footer="0.31496062992125984"/>
  <pageSetup paperSize="9" scale="70" orientation="landscape" horizontalDpi="360" verticalDpi="36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6B339-B700-4245-9950-11282F7CF7A3}">
  <sheetPr>
    <pageSetUpPr fitToPage="1"/>
  </sheetPr>
  <dimension ref="A1:Q38"/>
  <sheetViews>
    <sheetView showGridLines="0" zoomScale="60" zoomScaleNormal="55" zoomScaleSheetLayoutView="70" workbookViewId="0">
      <selection activeCell="G3" sqref="G3:I6"/>
    </sheetView>
  </sheetViews>
  <sheetFormatPr defaultColWidth="9.109375" defaultRowHeight="13.8" x14ac:dyDescent="0.25"/>
  <cols>
    <col min="1" max="2" width="14.5546875" style="2" customWidth="1"/>
    <col min="3" max="10" width="22.5546875" style="1" customWidth="1"/>
    <col min="11" max="13" width="24.5546875" style="1" customWidth="1"/>
    <col min="14" max="14" width="12.88671875" style="1" bestFit="1" customWidth="1"/>
    <col min="15" max="16384" width="9.109375" style="1"/>
  </cols>
  <sheetData>
    <row r="1" spans="1:17" ht="61.5" customHeight="1" thickBot="1" x14ac:dyDescent="0.3">
      <c r="A1" s="516" t="s">
        <v>119</v>
      </c>
      <c r="B1" s="516"/>
      <c r="C1" s="516"/>
      <c r="L1" s="523" t="s">
        <v>120</v>
      </c>
      <c r="M1" s="524"/>
    </row>
    <row r="2" spans="1:17" ht="31.5" customHeight="1" x14ac:dyDescent="0.25">
      <c r="A2" s="519" t="s">
        <v>121</v>
      </c>
      <c r="B2" s="520"/>
      <c r="C2" s="520"/>
      <c r="D2" s="520"/>
      <c r="E2" s="520"/>
      <c r="F2" s="520"/>
      <c r="G2" s="520"/>
      <c r="H2" s="520"/>
      <c r="I2" s="520"/>
      <c r="J2" s="520"/>
      <c r="K2" s="520"/>
      <c r="L2" s="520"/>
      <c r="M2" s="521"/>
    </row>
    <row r="3" spans="1:17" ht="16.5" customHeight="1" x14ac:dyDescent="0.25">
      <c r="A3" s="526" t="s">
        <v>6</v>
      </c>
      <c r="B3" s="466"/>
      <c r="C3" s="465" t="s">
        <v>27</v>
      </c>
      <c r="D3" s="465" t="s">
        <v>24</v>
      </c>
      <c r="E3" s="497" t="s">
        <v>153</v>
      </c>
      <c r="F3" s="497" t="s">
        <v>154</v>
      </c>
      <c r="G3" s="472" t="s">
        <v>108</v>
      </c>
      <c r="H3" s="472"/>
      <c r="I3" s="472"/>
      <c r="J3" s="465" t="s">
        <v>109</v>
      </c>
      <c r="K3" s="497" t="s">
        <v>110</v>
      </c>
      <c r="L3" s="497" t="s">
        <v>113</v>
      </c>
      <c r="M3" s="522" t="s">
        <v>114</v>
      </c>
    </row>
    <row r="4" spans="1:17" ht="16.5" customHeight="1" x14ac:dyDescent="0.25">
      <c r="A4" s="527"/>
      <c r="B4" s="468"/>
      <c r="C4" s="508"/>
      <c r="D4" s="508"/>
      <c r="E4" s="504"/>
      <c r="F4" s="504"/>
      <c r="G4" s="472"/>
      <c r="H4" s="472"/>
      <c r="I4" s="472"/>
      <c r="J4" s="508"/>
      <c r="K4" s="504"/>
      <c r="L4" s="504"/>
      <c r="M4" s="514"/>
    </row>
    <row r="5" spans="1:17" ht="33.9" customHeight="1" x14ac:dyDescent="0.25">
      <c r="A5" s="525">
        <v>45962</v>
      </c>
      <c r="B5" s="496"/>
      <c r="C5" s="467"/>
      <c r="D5" s="467"/>
      <c r="E5" s="498"/>
      <c r="F5" s="498"/>
      <c r="G5" s="43" t="s">
        <v>115</v>
      </c>
      <c r="H5" s="43" t="s">
        <v>116</v>
      </c>
      <c r="I5" s="43" t="s">
        <v>117</v>
      </c>
      <c r="J5" s="467"/>
      <c r="K5" s="498"/>
      <c r="L5" s="498"/>
      <c r="M5" s="515"/>
    </row>
    <row r="6" spans="1:17" s="356" customFormat="1" ht="20.100000000000001" customHeight="1" x14ac:dyDescent="0.3">
      <c r="A6" s="528" t="s">
        <v>25</v>
      </c>
      <c r="B6" s="529"/>
      <c r="C6" s="422" t="s">
        <v>155</v>
      </c>
      <c r="D6" s="422" t="s">
        <v>155</v>
      </c>
      <c r="E6" s="422" t="s">
        <v>155</v>
      </c>
      <c r="F6" s="422" t="s">
        <v>155</v>
      </c>
      <c r="G6" s="422" t="s">
        <v>155</v>
      </c>
      <c r="H6" s="422" t="s">
        <v>155</v>
      </c>
      <c r="I6" s="422" t="s">
        <v>155</v>
      </c>
      <c r="J6" s="422" t="s">
        <v>155</v>
      </c>
      <c r="K6" s="422" t="s">
        <v>155</v>
      </c>
      <c r="L6" s="422" t="s">
        <v>155</v>
      </c>
      <c r="M6" s="455" t="s">
        <v>155</v>
      </c>
    </row>
    <row r="7" spans="1:17" ht="34.5" customHeight="1" x14ac:dyDescent="0.25">
      <c r="A7" s="530">
        <v>0</v>
      </c>
      <c r="B7" s="531"/>
      <c r="C7" s="441"/>
      <c r="D7" s="441"/>
      <c r="E7" s="441"/>
      <c r="F7" s="441"/>
      <c r="G7" s="441"/>
      <c r="H7" s="441"/>
      <c r="I7" s="441"/>
      <c r="J7" s="441"/>
      <c r="K7" s="441">
        <f>SUM(C7:G7)-H7+I7+J7</f>
        <v>0</v>
      </c>
      <c r="L7" s="441"/>
      <c r="M7" s="442">
        <f>K7+L7</f>
        <v>0</v>
      </c>
      <c r="N7" s="74"/>
      <c r="O7" s="421"/>
      <c r="P7" s="74"/>
      <c r="Q7" s="74"/>
    </row>
    <row r="8" spans="1:17" ht="34.5" customHeight="1" x14ac:dyDescent="0.25">
      <c r="A8" s="517">
        <v>4.1666666666666699E-2</v>
      </c>
      <c r="B8" s="518"/>
      <c r="C8" s="43"/>
      <c r="D8" s="43"/>
      <c r="E8" s="43"/>
      <c r="F8" s="43"/>
      <c r="G8" s="43"/>
      <c r="H8" s="43"/>
      <c r="I8" s="43"/>
      <c r="J8" s="43"/>
      <c r="K8" s="443">
        <f t="shared" ref="K8:K31" si="0">SUM(C8:G8)-H8+I8+J8</f>
        <v>0</v>
      </c>
      <c r="L8" s="443"/>
      <c r="M8" s="454">
        <f t="shared" ref="M8:M31" si="1">K8+L8</f>
        <v>0</v>
      </c>
      <c r="N8" s="74"/>
      <c r="O8" s="421"/>
      <c r="P8" s="74"/>
      <c r="Q8" s="74"/>
    </row>
    <row r="9" spans="1:17" ht="34.5" customHeight="1" x14ac:dyDescent="0.25">
      <c r="A9" s="517">
        <v>8.3333333333333398E-2</v>
      </c>
      <c r="B9" s="518"/>
      <c r="C9" s="43"/>
      <c r="D9" s="43"/>
      <c r="E9" s="43"/>
      <c r="F9" s="43"/>
      <c r="G9" s="43"/>
      <c r="H9" s="43"/>
      <c r="I9" s="43"/>
      <c r="J9" s="43"/>
      <c r="K9" s="443">
        <f t="shared" si="0"/>
        <v>0</v>
      </c>
      <c r="L9" s="443"/>
      <c r="M9" s="454">
        <f t="shared" si="1"/>
        <v>0</v>
      </c>
      <c r="N9" s="74"/>
      <c r="O9" s="421"/>
      <c r="P9" s="74"/>
      <c r="Q9" s="74"/>
    </row>
    <row r="10" spans="1:17" ht="34.5" customHeight="1" x14ac:dyDescent="0.25">
      <c r="A10" s="517">
        <v>7</v>
      </c>
      <c r="B10" s="518"/>
      <c r="C10" s="43"/>
      <c r="D10" s="43"/>
      <c r="E10" s="43"/>
      <c r="F10" s="43"/>
      <c r="G10" s="43"/>
      <c r="H10" s="43"/>
      <c r="I10" s="43"/>
      <c r="J10" s="43"/>
      <c r="K10" s="443">
        <f t="shared" si="0"/>
        <v>0</v>
      </c>
      <c r="L10" s="443"/>
      <c r="M10" s="454">
        <f t="shared" si="1"/>
        <v>0</v>
      </c>
      <c r="N10" s="74"/>
      <c r="O10" s="421"/>
      <c r="P10" s="74"/>
      <c r="Q10" s="74"/>
    </row>
    <row r="11" spans="1:17" ht="34.5" customHeight="1" x14ac:dyDescent="0.25">
      <c r="A11" s="517">
        <v>0.16666666666666699</v>
      </c>
      <c r="B11" s="518"/>
      <c r="C11" s="43"/>
      <c r="D11" s="43"/>
      <c r="E11" s="43"/>
      <c r="F11" s="43"/>
      <c r="G11" s="43"/>
      <c r="H11" s="43"/>
      <c r="I11" s="43"/>
      <c r="J11" s="43"/>
      <c r="K11" s="443">
        <f t="shared" si="0"/>
        <v>0</v>
      </c>
      <c r="L11" s="443"/>
      <c r="M11" s="454">
        <f t="shared" si="1"/>
        <v>0</v>
      </c>
      <c r="N11" s="74"/>
      <c r="O11" s="421"/>
      <c r="P11" s="74"/>
      <c r="Q11" s="74"/>
    </row>
    <row r="12" spans="1:17" ht="34.5" customHeight="1" x14ac:dyDescent="0.25">
      <c r="A12" s="517">
        <v>0.20833333333333301</v>
      </c>
      <c r="B12" s="518"/>
      <c r="C12" s="43"/>
      <c r="D12" s="43"/>
      <c r="E12" s="43"/>
      <c r="F12" s="43"/>
      <c r="G12" s="43"/>
      <c r="H12" s="43"/>
      <c r="I12" s="43"/>
      <c r="J12" s="43"/>
      <c r="K12" s="443">
        <f t="shared" si="0"/>
        <v>0</v>
      </c>
      <c r="L12" s="443"/>
      <c r="M12" s="454">
        <f t="shared" si="1"/>
        <v>0</v>
      </c>
      <c r="N12" s="74"/>
      <c r="O12" s="421"/>
      <c r="P12" s="74"/>
      <c r="Q12" s="74"/>
    </row>
    <row r="13" spans="1:17" ht="34.5" customHeight="1" x14ac:dyDescent="0.25">
      <c r="A13" s="517">
        <v>0.25</v>
      </c>
      <c r="B13" s="518"/>
      <c r="C13" s="43"/>
      <c r="D13" s="43"/>
      <c r="E13" s="43"/>
      <c r="F13" s="43"/>
      <c r="G13" s="43"/>
      <c r="H13" s="43"/>
      <c r="I13" s="43"/>
      <c r="J13" s="43"/>
      <c r="K13" s="443">
        <f t="shared" si="0"/>
        <v>0</v>
      </c>
      <c r="L13" s="443"/>
      <c r="M13" s="454">
        <f t="shared" si="1"/>
        <v>0</v>
      </c>
      <c r="N13" s="74"/>
      <c r="O13" s="421"/>
      <c r="P13" s="74"/>
      <c r="Q13" s="74"/>
    </row>
    <row r="14" spans="1:17" ht="34.5" customHeight="1" x14ac:dyDescent="0.25">
      <c r="A14" s="517">
        <v>0.29166666666666702</v>
      </c>
      <c r="B14" s="518"/>
      <c r="C14" s="43"/>
      <c r="D14" s="43"/>
      <c r="E14" s="43"/>
      <c r="F14" s="43"/>
      <c r="G14" s="43"/>
      <c r="H14" s="43"/>
      <c r="I14" s="43"/>
      <c r="J14" s="43"/>
      <c r="K14" s="443">
        <f t="shared" si="0"/>
        <v>0</v>
      </c>
      <c r="L14" s="443"/>
      <c r="M14" s="454">
        <f t="shared" si="1"/>
        <v>0</v>
      </c>
      <c r="N14" s="74"/>
      <c r="O14" s="421"/>
      <c r="P14" s="74"/>
      <c r="Q14" s="74"/>
    </row>
    <row r="15" spans="1:17" ht="34.5" customHeight="1" x14ac:dyDescent="0.25">
      <c r="A15" s="517">
        <v>0.33333333333333398</v>
      </c>
      <c r="B15" s="518"/>
      <c r="C15" s="43"/>
      <c r="D15" s="43"/>
      <c r="E15" s="43"/>
      <c r="F15" s="43"/>
      <c r="G15" s="43"/>
      <c r="H15" s="43"/>
      <c r="I15" s="43"/>
      <c r="J15" s="43"/>
      <c r="K15" s="443">
        <f t="shared" si="0"/>
        <v>0</v>
      </c>
      <c r="L15" s="443"/>
      <c r="M15" s="454">
        <f t="shared" si="1"/>
        <v>0</v>
      </c>
      <c r="N15" s="74"/>
      <c r="O15" s="421"/>
      <c r="P15" s="74"/>
      <c r="Q15" s="74"/>
    </row>
    <row r="16" spans="1:17" ht="34.5" customHeight="1" x14ac:dyDescent="0.25">
      <c r="A16" s="517">
        <v>0.375</v>
      </c>
      <c r="B16" s="518"/>
      <c r="C16" s="43"/>
      <c r="D16" s="43"/>
      <c r="E16" s="43"/>
      <c r="F16" s="43"/>
      <c r="G16" s="43"/>
      <c r="H16" s="43"/>
      <c r="I16" s="43"/>
      <c r="J16" s="43"/>
      <c r="K16" s="443">
        <f t="shared" si="0"/>
        <v>0</v>
      </c>
      <c r="L16" s="443"/>
      <c r="M16" s="454">
        <f t="shared" si="1"/>
        <v>0</v>
      </c>
      <c r="N16" s="74"/>
      <c r="O16" s="421"/>
      <c r="P16" s="74"/>
      <c r="Q16" s="74"/>
    </row>
    <row r="17" spans="1:17" ht="34.5" customHeight="1" x14ac:dyDescent="0.25">
      <c r="A17" s="517">
        <v>0.41666666666666702</v>
      </c>
      <c r="B17" s="518"/>
      <c r="C17" s="43"/>
      <c r="D17" s="43"/>
      <c r="E17" s="43"/>
      <c r="F17" s="43"/>
      <c r="G17" s="43"/>
      <c r="H17" s="43"/>
      <c r="I17" s="43"/>
      <c r="J17" s="43"/>
      <c r="K17" s="443">
        <f t="shared" si="0"/>
        <v>0</v>
      </c>
      <c r="L17" s="443"/>
      <c r="M17" s="454">
        <f t="shared" si="1"/>
        <v>0</v>
      </c>
      <c r="N17" s="74"/>
      <c r="O17" s="421"/>
      <c r="P17" s="74"/>
      <c r="Q17" s="74"/>
    </row>
    <row r="18" spans="1:17" ht="34.5" customHeight="1" x14ac:dyDescent="0.25">
      <c r="A18" s="517">
        <v>0.45833333333333398</v>
      </c>
      <c r="B18" s="518"/>
      <c r="C18" s="43"/>
      <c r="D18" s="43"/>
      <c r="E18" s="43"/>
      <c r="F18" s="43"/>
      <c r="G18" s="43"/>
      <c r="H18" s="43"/>
      <c r="I18" s="43"/>
      <c r="J18" s="43"/>
      <c r="K18" s="443">
        <f t="shared" si="0"/>
        <v>0</v>
      </c>
      <c r="L18" s="443"/>
      <c r="M18" s="454">
        <f t="shared" si="1"/>
        <v>0</v>
      </c>
      <c r="N18" s="74"/>
      <c r="O18" s="421"/>
      <c r="P18" s="74"/>
      <c r="Q18" s="74"/>
    </row>
    <row r="19" spans="1:17" ht="34.5" customHeight="1" x14ac:dyDescent="0.25">
      <c r="A19" s="517">
        <v>0.5</v>
      </c>
      <c r="B19" s="518"/>
      <c r="C19" s="43"/>
      <c r="D19" s="43"/>
      <c r="E19" s="43"/>
      <c r="F19" s="43"/>
      <c r="G19" s="43"/>
      <c r="H19" s="43"/>
      <c r="I19" s="43"/>
      <c r="J19" s="43"/>
      <c r="K19" s="443">
        <f t="shared" si="0"/>
        <v>0</v>
      </c>
      <c r="L19" s="443"/>
      <c r="M19" s="454">
        <f t="shared" si="1"/>
        <v>0</v>
      </c>
      <c r="N19" s="74"/>
      <c r="O19" s="421"/>
      <c r="P19" s="74"/>
      <c r="Q19" s="74"/>
    </row>
    <row r="20" spans="1:17" ht="34.5" customHeight="1" x14ac:dyDescent="0.25">
      <c r="A20" s="517">
        <v>0.54166666666666696</v>
      </c>
      <c r="B20" s="518"/>
      <c r="C20" s="43"/>
      <c r="D20" s="43"/>
      <c r="E20" s="43"/>
      <c r="F20" s="43"/>
      <c r="G20" s="43"/>
      <c r="H20" s="43"/>
      <c r="I20" s="43"/>
      <c r="J20" s="43"/>
      <c r="K20" s="443">
        <f t="shared" si="0"/>
        <v>0</v>
      </c>
      <c r="L20" s="443"/>
      <c r="M20" s="454">
        <f t="shared" si="1"/>
        <v>0</v>
      </c>
      <c r="N20" s="74"/>
      <c r="O20" s="421"/>
      <c r="P20" s="74"/>
      <c r="Q20" s="74"/>
    </row>
    <row r="21" spans="1:17" ht="34.5" customHeight="1" x14ac:dyDescent="0.25">
      <c r="A21" s="517">
        <v>0.58333333333333404</v>
      </c>
      <c r="B21" s="518"/>
      <c r="C21" s="43"/>
      <c r="D21" s="43"/>
      <c r="E21" s="43"/>
      <c r="F21" s="43"/>
      <c r="G21" s="43"/>
      <c r="H21" s="43"/>
      <c r="I21" s="43"/>
      <c r="J21" s="43"/>
      <c r="K21" s="443">
        <f t="shared" si="0"/>
        <v>0</v>
      </c>
      <c r="L21" s="443"/>
      <c r="M21" s="454">
        <f t="shared" si="1"/>
        <v>0</v>
      </c>
      <c r="N21" s="74"/>
      <c r="O21" s="421"/>
      <c r="P21" s="74"/>
      <c r="Q21" s="74"/>
    </row>
    <row r="22" spans="1:17" ht="34.5" customHeight="1" x14ac:dyDescent="0.25">
      <c r="A22" s="517">
        <v>0.625</v>
      </c>
      <c r="B22" s="518"/>
      <c r="C22" s="43"/>
      <c r="D22" s="43"/>
      <c r="E22" s="43"/>
      <c r="F22" s="43"/>
      <c r="G22" s="43"/>
      <c r="H22" s="43"/>
      <c r="I22" s="43"/>
      <c r="J22" s="43"/>
      <c r="K22" s="443">
        <f t="shared" si="0"/>
        <v>0</v>
      </c>
      <c r="L22" s="443"/>
      <c r="M22" s="454">
        <f t="shared" si="1"/>
        <v>0</v>
      </c>
      <c r="N22" s="74"/>
      <c r="O22" s="421"/>
      <c r="P22" s="74"/>
      <c r="Q22" s="74"/>
    </row>
    <row r="23" spans="1:17" ht="34.5" customHeight="1" x14ac:dyDescent="0.25">
      <c r="A23" s="517">
        <v>0.66666666666666696</v>
      </c>
      <c r="B23" s="518"/>
      <c r="C23" s="43"/>
      <c r="D23" s="43"/>
      <c r="E23" s="43"/>
      <c r="F23" s="43"/>
      <c r="G23" s="43"/>
      <c r="H23" s="43"/>
      <c r="I23" s="43"/>
      <c r="J23" s="43"/>
      <c r="K23" s="443">
        <f t="shared" si="0"/>
        <v>0</v>
      </c>
      <c r="L23" s="443"/>
      <c r="M23" s="454">
        <f t="shared" si="1"/>
        <v>0</v>
      </c>
      <c r="N23" s="74"/>
      <c r="O23" s="421"/>
      <c r="P23" s="74"/>
      <c r="Q23" s="74"/>
    </row>
    <row r="24" spans="1:17" ht="34.5" customHeight="1" x14ac:dyDescent="0.25">
      <c r="A24" s="517">
        <v>0.70833333333333404</v>
      </c>
      <c r="B24" s="518"/>
      <c r="C24" s="43"/>
      <c r="D24" s="43"/>
      <c r="E24" s="43"/>
      <c r="F24" s="43"/>
      <c r="G24" s="43"/>
      <c r="H24" s="43"/>
      <c r="I24" s="43"/>
      <c r="J24" s="43"/>
      <c r="K24" s="443">
        <f t="shared" si="0"/>
        <v>0</v>
      </c>
      <c r="L24" s="443"/>
      <c r="M24" s="454">
        <f t="shared" si="1"/>
        <v>0</v>
      </c>
      <c r="N24" s="74"/>
      <c r="O24" s="421"/>
      <c r="P24" s="74"/>
      <c r="Q24" s="74"/>
    </row>
    <row r="25" spans="1:17" ht="34.5" customHeight="1" x14ac:dyDescent="0.25">
      <c r="A25" s="517">
        <v>0.750000000000001</v>
      </c>
      <c r="B25" s="518"/>
      <c r="C25" s="43"/>
      <c r="D25" s="43"/>
      <c r="E25" s="43"/>
      <c r="F25" s="43"/>
      <c r="G25" s="43"/>
      <c r="H25" s="43"/>
      <c r="I25" s="43"/>
      <c r="J25" s="43"/>
      <c r="K25" s="443">
        <f t="shared" si="0"/>
        <v>0</v>
      </c>
      <c r="L25" s="443"/>
      <c r="M25" s="454">
        <f t="shared" si="1"/>
        <v>0</v>
      </c>
      <c r="N25" s="74"/>
      <c r="O25" s="421"/>
      <c r="P25" s="74"/>
      <c r="Q25" s="74"/>
    </row>
    <row r="26" spans="1:17" ht="34.5" customHeight="1" x14ac:dyDescent="0.25">
      <c r="A26" s="517">
        <v>0.79166666666666696</v>
      </c>
      <c r="B26" s="518"/>
      <c r="C26" s="43"/>
      <c r="D26" s="43"/>
      <c r="E26" s="43"/>
      <c r="F26" s="43"/>
      <c r="G26" s="43"/>
      <c r="H26" s="43"/>
      <c r="I26" s="43"/>
      <c r="J26" s="43"/>
      <c r="K26" s="443">
        <f t="shared" si="0"/>
        <v>0</v>
      </c>
      <c r="L26" s="443"/>
      <c r="M26" s="454">
        <f t="shared" si="1"/>
        <v>0</v>
      </c>
      <c r="N26" s="74"/>
      <c r="O26" s="421"/>
      <c r="P26" s="74"/>
      <c r="Q26" s="74"/>
    </row>
    <row r="27" spans="1:17" ht="34.5" customHeight="1" x14ac:dyDescent="0.25">
      <c r="A27" s="517">
        <v>0.83333333333333404</v>
      </c>
      <c r="B27" s="518"/>
      <c r="C27" s="43"/>
      <c r="D27" s="43"/>
      <c r="E27" s="43"/>
      <c r="F27" s="43"/>
      <c r="G27" s="43"/>
      <c r="H27" s="43"/>
      <c r="I27" s="43"/>
      <c r="J27" s="43"/>
      <c r="K27" s="443">
        <f t="shared" si="0"/>
        <v>0</v>
      </c>
      <c r="L27" s="443"/>
      <c r="M27" s="454">
        <f t="shared" si="1"/>
        <v>0</v>
      </c>
      <c r="N27" s="74"/>
      <c r="O27" s="421"/>
      <c r="P27" s="74"/>
      <c r="Q27" s="74"/>
    </row>
    <row r="28" spans="1:17" ht="34.5" customHeight="1" x14ac:dyDescent="0.25">
      <c r="A28" s="517">
        <v>0.875000000000001</v>
      </c>
      <c r="B28" s="518"/>
      <c r="C28" s="43"/>
      <c r="D28" s="43"/>
      <c r="E28" s="43"/>
      <c r="F28" s="43"/>
      <c r="G28" s="43"/>
      <c r="H28" s="43"/>
      <c r="I28" s="43"/>
      <c r="J28" s="43"/>
      <c r="K28" s="443">
        <f t="shared" si="0"/>
        <v>0</v>
      </c>
      <c r="L28" s="443"/>
      <c r="M28" s="454">
        <f t="shared" si="1"/>
        <v>0</v>
      </c>
      <c r="N28" s="74"/>
      <c r="O28" s="421"/>
      <c r="P28" s="74"/>
      <c r="Q28" s="74"/>
    </row>
    <row r="29" spans="1:17" ht="34.5" customHeight="1" x14ac:dyDescent="0.25">
      <c r="A29" s="517">
        <v>0.91666666666666696</v>
      </c>
      <c r="B29" s="518"/>
      <c r="C29" s="43"/>
      <c r="D29" s="43"/>
      <c r="E29" s="43"/>
      <c r="F29" s="43"/>
      <c r="G29" s="43"/>
      <c r="H29" s="43"/>
      <c r="I29" s="43"/>
      <c r="J29" s="43"/>
      <c r="K29" s="443">
        <f t="shared" si="0"/>
        <v>0</v>
      </c>
      <c r="L29" s="443"/>
      <c r="M29" s="454">
        <f t="shared" si="1"/>
        <v>0</v>
      </c>
      <c r="N29" s="74"/>
      <c r="O29" s="421"/>
      <c r="P29" s="74"/>
      <c r="Q29" s="74"/>
    </row>
    <row r="30" spans="1:17" ht="34.5" customHeight="1" x14ac:dyDescent="0.25">
      <c r="A30" s="534">
        <v>0.95833333333333404</v>
      </c>
      <c r="B30" s="535"/>
      <c r="C30" s="43"/>
      <c r="D30" s="43"/>
      <c r="E30" s="43"/>
      <c r="F30" s="43"/>
      <c r="G30" s="43"/>
      <c r="H30" s="43"/>
      <c r="I30" s="43"/>
      <c r="J30" s="43"/>
      <c r="K30" s="443">
        <f t="shared" si="0"/>
        <v>0</v>
      </c>
      <c r="L30" s="443"/>
      <c r="M30" s="454">
        <f t="shared" si="1"/>
        <v>0</v>
      </c>
      <c r="N30" s="74"/>
      <c r="O30" s="421"/>
      <c r="P30" s="74"/>
      <c r="Q30" s="74"/>
    </row>
    <row r="31" spans="1:17" ht="34.5" customHeight="1" thickBot="1" x14ac:dyDescent="0.3">
      <c r="A31" s="517">
        <v>0</v>
      </c>
      <c r="B31" s="518"/>
      <c r="C31" s="444"/>
      <c r="D31" s="444"/>
      <c r="E31" s="444"/>
      <c r="F31" s="444"/>
      <c r="G31" s="444"/>
      <c r="H31" s="444"/>
      <c r="I31" s="444"/>
      <c r="J31" s="444"/>
      <c r="K31" s="443">
        <f t="shared" si="0"/>
        <v>0</v>
      </c>
      <c r="L31" s="443"/>
      <c r="M31" s="454">
        <f t="shared" si="1"/>
        <v>0</v>
      </c>
      <c r="N31" s="74"/>
      <c r="O31" s="421"/>
      <c r="P31" s="74"/>
      <c r="Q31" s="74"/>
    </row>
    <row r="32" spans="1:17" ht="21.9" customHeight="1" thickBot="1" x14ac:dyDescent="0.3">
      <c r="A32" s="532" t="s">
        <v>48</v>
      </c>
      <c r="B32" s="533"/>
      <c r="C32" s="445">
        <f>SUM(C8:C31)</f>
        <v>0</v>
      </c>
      <c r="D32" s="445">
        <f t="shared" ref="D32:M32" si="2">SUM(D8:D31)</f>
        <v>0</v>
      </c>
      <c r="E32" s="445">
        <f t="shared" si="2"/>
        <v>0</v>
      </c>
      <c r="F32" s="445">
        <f t="shared" si="2"/>
        <v>0</v>
      </c>
      <c r="G32" s="445">
        <f t="shared" si="2"/>
        <v>0</v>
      </c>
      <c r="H32" s="445">
        <f t="shared" si="2"/>
        <v>0</v>
      </c>
      <c r="I32" s="445"/>
      <c r="J32" s="445">
        <f t="shared" si="2"/>
        <v>0</v>
      </c>
      <c r="K32" s="445">
        <f t="shared" si="2"/>
        <v>0</v>
      </c>
      <c r="L32" s="445">
        <f t="shared" si="2"/>
        <v>0</v>
      </c>
      <c r="M32" s="446">
        <f t="shared" si="2"/>
        <v>0</v>
      </c>
    </row>
    <row r="33" spans="1:13" ht="21.9" customHeight="1" x14ac:dyDescent="0.25">
      <c r="A33" s="424"/>
      <c r="B33" s="424"/>
      <c r="C33" s="425"/>
      <c r="D33" s="425"/>
      <c r="E33" s="426"/>
      <c r="F33" s="427"/>
      <c r="G33" s="427"/>
      <c r="H33" s="427"/>
      <c r="I33" s="427"/>
      <c r="J33" s="427"/>
      <c r="K33" s="427"/>
      <c r="L33" s="426"/>
    </row>
    <row r="34" spans="1:13" ht="21.9" customHeight="1" x14ac:dyDescent="0.25"/>
    <row r="35" spans="1:13" s="423" customFormat="1" ht="18" customHeight="1" x14ac:dyDescent="0.25">
      <c r="A35" s="2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s="356" customFormat="1" ht="18" customHeight="1" x14ac:dyDescent="0.25">
      <c r="A36" s="2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5.9" customHeight="1" x14ac:dyDescent="0.25"/>
    <row r="38" spans="1:13" ht="15.9" customHeight="1" x14ac:dyDescent="0.25"/>
  </sheetData>
  <mergeCells count="41">
    <mergeCell ref="A1:C1"/>
    <mergeCell ref="L1:M1"/>
    <mergeCell ref="A2:M2"/>
    <mergeCell ref="A3:B4"/>
    <mergeCell ref="C3:C5"/>
    <mergeCell ref="D3:D5"/>
    <mergeCell ref="E3:E5"/>
    <mergeCell ref="F3:F5"/>
    <mergeCell ref="G3:I4"/>
    <mergeCell ref="J3:J5"/>
    <mergeCell ref="A13:B13"/>
    <mergeCell ref="K3:K5"/>
    <mergeCell ref="L3:L5"/>
    <mergeCell ref="M3:M5"/>
    <mergeCell ref="A5:B5"/>
    <mergeCell ref="A6:B6"/>
    <mergeCell ref="A7:B7"/>
    <mergeCell ref="A8:B8"/>
    <mergeCell ref="A9:B9"/>
    <mergeCell ref="A10:B10"/>
    <mergeCell ref="A11:B11"/>
    <mergeCell ref="A12:B12"/>
    <mergeCell ref="A25:B25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32:B32"/>
    <mergeCell ref="A26:B26"/>
    <mergeCell ref="A27:B27"/>
    <mergeCell ref="A28:B28"/>
    <mergeCell ref="A29:B29"/>
    <mergeCell ref="A30:B30"/>
    <mergeCell ref="A31:B31"/>
  </mergeCells>
  <pageMargins left="0.23622047244094491" right="0.23622047244094491" top="0" bottom="0" header="0.31496062992125984" footer="0.31496062992125984"/>
  <pageSetup paperSize="9" scale="70" orientation="landscape" horizontalDpi="360" verticalDpi="36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M35"/>
  <sheetViews>
    <sheetView showGridLines="0" zoomScale="80" zoomScaleNormal="80" workbookViewId="0">
      <selection activeCell="F22" sqref="F22"/>
    </sheetView>
  </sheetViews>
  <sheetFormatPr defaultColWidth="9.109375" defaultRowHeight="14.4" x14ac:dyDescent="0.3"/>
  <cols>
    <col min="4" max="11" width="11.44140625" customWidth="1"/>
  </cols>
  <sheetData>
    <row r="1" spans="1:7" x14ac:dyDescent="0.3">
      <c r="C1" s="375" t="s">
        <v>122</v>
      </c>
    </row>
    <row r="2" spans="1:7" x14ac:dyDescent="0.3">
      <c r="C2" s="375"/>
    </row>
    <row r="3" spans="1:7" x14ac:dyDescent="0.3">
      <c r="C3" s="536" t="s">
        <v>123</v>
      </c>
      <c r="D3" s="537" t="s">
        <v>124</v>
      </c>
      <c r="E3" s="537"/>
      <c r="F3" s="537" t="s">
        <v>125</v>
      </c>
      <c r="G3" s="537"/>
    </row>
    <row r="4" spans="1:7" x14ac:dyDescent="0.3">
      <c r="C4" s="536"/>
      <c r="D4" s="212" t="s">
        <v>126</v>
      </c>
      <c r="E4" s="212" t="s">
        <v>44</v>
      </c>
      <c r="F4" s="212" t="s">
        <v>126</v>
      </c>
      <c r="G4" s="212" t="s">
        <v>44</v>
      </c>
    </row>
    <row r="5" spans="1:7" x14ac:dyDescent="0.3">
      <c r="C5" s="213" t="s">
        <v>127</v>
      </c>
      <c r="D5" s="214">
        <v>135932</v>
      </c>
      <c r="E5" s="361" t="s">
        <v>128</v>
      </c>
      <c r="F5" s="212">
        <v>14699</v>
      </c>
      <c r="G5" s="361" t="s">
        <v>128</v>
      </c>
    </row>
    <row r="6" spans="1:7" x14ac:dyDescent="0.3">
      <c r="C6" s="223" t="s">
        <v>129</v>
      </c>
      <c r="D6" s="214">
        <v>212748</v>
      </c>
      <c r="E6" s="224">
        <f t="shared" ref="E6:E11" si="0">D6-D5</f>
        <v>76816</v>
      </c>
      <c r="F6" s="212">
        <v>23147</v>
      </c>
      <c r="G6" s="224">
        <f t="shared" ref="G6:G11" si="1">F6-F5</f>
        <v>8448</v>
      </c>
    </row>
    <row r="7" spans="1:7" x14ac:dyDescent="0.3">
      <c r="C7" s="223" t="s">
        <v>130</v>
      </c>
      <c r="D7" s="214">
        <v>293338</v>
      </c>
      <c r="E7" s="224">
        <f t="shared" si="0"/>
        <v>80590</v>
      </c>
      <c r="F7" s="212">
        <v>33861</v>
      </c>
      <c r="G7" s="224">
        <f t="shared" si="1"/>
        <v>10714</v>
      </c>
    </row>
    <row r="8" spans="1:7" x14ac:dyDescent="0.3">
      <c r="C8" s="223" t="s">
        <v>131</v>
      </c>
      <c r="D8" s="214">
        <v>378904</v>
      </c>
      <c r="E8" s="224">
        <f t="shared" si="0"/>
        <v>85566</v>
      </c>
      <c r="F8" s="215">
        <v>51642</v>
      </c>
      <c r="G8" s="224">
        <f t="shared" si="1"/>
        <v>17781</v>
      </c>
    </row>
    <row r="9" spans="1:7" x14ac:dyDescent="0.3">
      <c r="C9" s="223" t="s">
        <v>132</v>
      </c>
      <c r="D9" s="214">
        <f>'Oct2022'!AK37</f>
        <v>475160</v>
      </c>
      <c r="E9" s="224">
        <f t="shared" si="0"/>
        <v>96256</v>
      </c>
      <c r="F9" s="215">
        <f>'Oct2022'!AM37</f>
        <v>68260</v>
      </c>
      <c r="G9" s="224">
        <f t="shared" si="1"/>
        <v>16618</v>
      </c>
    </row>
    <row r="10" spans="1:7" x14ac:dyDescent="0.3">
      <c r="A10" t="s">
        <v>100</v>
      </c>
      <c r="C10" s="223" t="s">
        <v>133</v>
      </c>
      <c r="D10" s="214">
        <f>'Nov2022'!AO36</f>
        <v>574001</v>
      </c>
      <c r="E10" s="224">
        <f t="shared" si="0"/>
        <v>98841</v>
      </c>
      <c r="F10" s="215">
        <f>'Nov2022'!AQ36</f>
        <v>77584</v>
      </c>
      <c r="G10" s="224">
        <f t="shared" si="1"/>
        <v>9324</v>
      </c>
    </row>
    <row r="11" spans="1:7" x14ac:dyDescent="0.3">
      <c r="C11" s="223" t="s">
        <v>134</v>
      </c>
      <c r="D11" s="214">
        <f>'Dec2022'!AI37</f>
        <v>662125</v>
      </c>
      <c r="E11" s="224">
        <f t="shared" si="0"/>
        <v>88124</v>
      </c>
      <c r="F11" s="215">
        <f>'Dec2022'!AO37</f>
        <v>85992</v>
      </c>
      <c r="G11" s="224">
        <f t="shared" si="1"/>
        <v>8408</v>
      </c>
    </row>
    <row r="12" spans="1:7" x14ac:dyDescent="0.3">
      <c r="C12" s="223" t="s">
        <v>135</v>
      </c>
      <c r="D12" s="214">
        <f>'Jan2023'!AI37</f>
        <v>776203</v>
      </c>
      <c r="E12" s="224">
        <f>D12-D11</f>
        <v>114078</v>
      </c>
      <c r="F12" s="215">
        <f>'Jan2023'!AK37</f>
        <v>92727</v>
      </c>
      <c r="G12" s="224">
        <f>F12-F11</f>
        <v>6735</v>
      </c>
    </row>
    <row r="35" spans="39:39" x14ac:dyDescent="0.3">
      <c r="AM35">
        <f>'Jan2023'!AM37-'Feb2023'!AM34</f>
        <v>-823</v>
      </c>
    </row>
  </sheetData>
  <mergeCells count="3">
    <mergeCell ref="C3:C4"/>
    <mergeCell ref="D3:E3"/>
    <mergeCell ref="F3:G3"/>
  </mergeCells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FF0000"/>
  </sheetPr>
  <dimension ref="B2:AC39"/>
  <sheetViews>
    <sheetView showGridLines="0" zoomScale="70" zoomScaleNormal="70" workbookViewId="0">
      <pane xSplit="2" ySplit="6" topLeftCell="I7" activePane="bottomRight" state="frozen"/>
      <selection pane="topRight" activeCell="C1" sqref="C1"/>
      <selection pane="bottomLeft" activeCell="A7" sqref="A7"/>
      <selection pane="bottomRight" activeCell="N19" sqref="N19"/>
    </sheetView>
  </sheetViews>
  <sheetFormatPr defaultColWidth="9.109375" defaultRowHeight="13.8" x14ac:dyDescent="0.25"/>
  <cols>
    <col min="1" max="1" width="4.5546875" style="1" customWidth="1"/>
    <col min="2" max="2" width="22.5546875" style="2" customWidth="1"/>
    <col min="3" max="3" width="10.44140625" style="2" bestFit="1" customWidth="1"/>
    <col min="4" max="4" width="10.44140625" style="2" customWidth="1"/>
    <col min="5" max="5" width="10" style="2" customWidth="1"/>
    <col min="6" max="6" width="11" style="2" customWidth="1"/>
    <col min="7" max="7" width="11.44140625" style="2" customWidth="1"/>
    <col min="8" max="8" width="11.5546875" style="2" customWidth="1"/>
    <col min="9" max="9" width="12" style="2" customWidth="1"/>
    <col min="10" max="10" width="12.44140625" style="1" customWidth="1"/>
    <col min="11" max="11" width="12.109375" style="1" customWidth="1"/>
    <col min="12" max="12" width="10.44140625" style="1" customWidth="1"/>
    <col min="13" max="13" width="10.88671875" style="1" customWidth="1"/>
    <col min="14" max="14" width="11.44140625" style="1" customWidth="1"/>
    <col min="15" max="15" width="11.5546875" style="1" customWidth="1"/>
    <col min="16" max="16" width="11.109375" style="1" customWidth="1"/>
    <col min="17" max="17" width="11.44140625" style="3" customWidth="1"/>
    <col min="18" max="19" width="11.109375" style="3" customWidth="1"/>
    <col min="20" max="20" width="11.5546875" style="3" customWidth="1"/>
    <col min="21" max="21" width="11.109375" style="3" customWidth="1"/>
    <col min="22" max="22" width="11" style="3" customWidth="1"/>
    <col min="23" max="23" width="11.44140625" style="3" customWidth="1"/>
    <col min="24" max="25" width="11.5546875" style="1" customWidth="1"/>
    <col min="26" max="26" width="11.5546875" style="2" customWidth="1"/>
    <col min="27" max="27" width="14.44140625" style="1" customWidth="1"/>
    <col min="28" max="28" width="13.109375" style="1" customWidth="1"/>
    <col min="29" max="29" width="14.5546875" style="1" customWidth="1"/>
    <col min="30" max="16384" width="9.109375" style="1"/>
  </cols>
  <sheetData>
    <row r="2" spans="2:29" x14ac:dyDescent="0.25">
      <c r="B2" s="4" t="s">
        <v>0</v>
      </c>
    </row>
    <row r="3" spans="2:29" ht="16.5" customHeight="1" x14ac:dyDescent="0.25">
      <c r="B3" s="479" t="s">
        <v>1</v>
      </c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1"/>
      <c r="X3" s="465" t="s">
        <v>17</v>
      </c>
      <c r="Y3" s="473"/>
      <c r="Z3" s="466"/>
      <c r="AA3" s="465" t="s">
        <v>4</v>
      </c>
      <c r="AB3" s="466"/>
      <c r="AC3" s="457" t="s">
        <v>136</v>
      </c>
    </row>
    <row r="4" spans="2:29" ht="16.5" customHeight="1" x14ac:dyDescent="0.25">
      <c r="B4" s="460" t="s">
        <v>6</v>
      </c>
      <c r="C4" s="460" t="s">
        <v>7</v>
      </c>
      <c r="D4" s="460" t="s">
        <v>8</v>
      </c>
      <c r="E4" s="460"/>
      <c r="F4" s="54"/>
      <c r="G4" s="54" t="s">
        <v>9</v>
      </c>
      <c r="H4" s="464" t="s">
        <v>137</v>
      </c>
      <c r="I4" s="464"/>
      <c r="J4" s="464"/>
      <c r="K4" s="464"/>
      <c r="L4" s="464" t="s">
        <v>11</v>
      </c>
      <c r="M4" s="464"/>
      <c r="N4" s="464"/>
      <c r="O4" s="472" t="s">
        <v>12</v>
      </c>
      <c r="P4" s="472"/>
      <c r="Q4" s="32" t="s">
        <v>138</v>
      </c>
      <c r="R4" s="32"/>
      <c r="S4" s="33"/>
      <c r="T4" s="461" t="s">
        <v>139</v>
      </c>
      <c r="U4" s="463"/>
      <c r="V4" s="461" t="s">
        <v>16</v>
      </c>
      <c r="W4" s="463"/>
      <c r="X4" s="508"/>
      <c r="Y4" s="538"/>
      <c r="Z4" s="506"/>
      <c r="AA4" s="467"/>
      <c r="AB4" s="468"/>
      <c r="AC4" s="458"/>
    </row>
    <row r="5" spans="2:29" ht="39.75" customHeight="1" x14ac:dyDescent="0.25">
      <c r="B5" s="460"/>
      <c r="C5" s="460"/>
      <c r="D5" s="41" t="s">
        <v>18</v>
      </c>
      <c r="E5" s="41" t="s">
        <v>19</v>
      </c>
      <c r="F5" s="41" t="s">
        <v>21</v>
      </c>
      <c r="G5" s="43" t="s">
        <v>22</v>
      </c>
      <c r="H5" s="472" t="s">
        <v>23</v>
      </c>
      <c r="I5" s="472"/>
      <c r="J5" s="472" t="s">
        <v>140</v>
      </c>
      <c r="K5" s="472"/>
      <c r="L5" s="460" t="s">
        <v>25</v>
      </c>
      <c r="M5" s="460"/>
      <c r="N5" s="43" t="s">
        <v>26</v>
      </c>
      <c r="O5" s="472"/>
      <c r="P5" s="472"/>
      <c r="Q5" s="34" t="s">
        <v>141</v>
      </c>
      <c r="R5" s="35" t="s">
        <v>142</v>
      </c>
      <c r="S5" s="36" t="s">
        <v>21</v>
      </c>
      <c r="T5" s="41" t="s">
        <v>141</v>
      </c>
      <c r="U5" s="43" t="s">
        <v>143</v>
      </c>
      <c r="V5" s="41" t="s">
        <v>141</v>
      </c>
      <c r="W5" s="43" t="s">
        <v>143</v>
      </c>
      <c r="X5" s="472" t="s">
        <v>28</v>
      </c>
      <c r="Y5" s="472"/>
      <c r="Z5" s="43" t="s">
        <v>144</v>
      </c>
      <c r="AA5" s="43" t="s">
        <v>145</v>
      </c>
      <c r="AB5" s="43" t="s">
        <v>146</v>
      </c>
      <c r="AC5" s="458"/>
    </row>
    <row r="6" spans="2:29" ht="14.4" x14ac:dyDescent="0.25">
      <c r="B6" s="460"/>
      <c r="C6" s="460"/>
      <c r="D6" s="55">
        <v>8350</v>
      </c>
      <c r="E6" s="55">
        <v>8350</v>
      </c>
      <c r="F6" s="55"/>
      <c r="G6" s="56">
        <v>0.55000000000000004</v>
      </c>
      <c r="H6" s="17" t="s">
        <v>34</v>
      </c>
      <c r="I6" s="17" t="s">
        <v>35</v>
      </c>
      <c r="J6" s="17" t="s">
        <v>34</v>
      </c>
      <c r="K6" s="17" t="s">
        <v>35</v>
      </c>
      <c r="L6" s="40" t="s">
        <v>36</v>
      </c>
      <c r="M6" s="40" t="s">
        <v>37</v>
      </c>
      <c r="N6" s="41" t="s">
        <v>38</v>
      </c>
      <c r="O6" s="41" t="s">
        <v>34</v>
      </c>
      <c r="P6" s="41" t="s">
        <v>35</v>
      </c>
      <c r="Q6" s="48" t="s">
        <v>39</v>
      </c>
      <c r="R6" s="48" t="s">
        <v>39</v>
      </c>
      <c r="S6" s="48" t="s">
        <v>39</v>
      </c>
      <c r="T6" s="41" t="s">
        <v>40</v>
      </c>
      <c r="U6" s="41" t="s">
        <v>40</v>
      </c>
      <c r="V6" s="41" t="s">
        <v>40</v>
      </c>
      <c r="W6" s="41" t="s">
        <v>40</v>
      </c>
      <c r="X6" s="17" t="s">
        <v>41</v>
      </c>
      <c r="Y6" s="9" t="s">
        <v>42</v>
      </c>
      <c r="Z6" s="9"/>
      <c r="AA6" s="9" t="s">
        <v>147</v>
      </c>
      <c r="AB6" s="41" t="s">
        <v>148</v>
      </c>
      <c r="AC6" s="459"/>
    </row>
    <row r="7" spans="2:29" x14ac:dyDescent="0.25">
      <c r="B7" s="8">
        <v>44438</v>
      </c>
      <c r="C7" s="17" t="str">
        <f>TEXT(B7,"ddd")</f>
        <v>Mon</v>
      </c>
      <c r="D7" s="6" t="e">
        <f>#REF!-'Previous day'!D7</f>
        <v>#REF!</v>
      </c>
      <c r="E7" s="17"/>
      <c r="F7" s="57" t="e">
        <f>SUMPRODUCT($D$6:$E$6,D7:E7)</f>
        <v>#REF!</v>
      </c>
      <c r="G7" s="6" t="e">
        <f>#REF!-'Previous day'!G7</f>
        <v>#REF!</v>
      </c>
      <c r="H7" s="17"/>
      <c r="I7" s="17"/>
      <c r="J7" s="58" t="e">
        <f>#REF!-'Previous day'!J7</f>
        <v>#REF!</v>
      </c>
      <c r="K7" s="59" t="e">
        <f>#REF!-'Previous day'!K7</f>
        <v>#REF!</v>
      </c>
      <c r="L7" s="60"/>
      <c r="M7" s="60"/>
      <c r="N7" s="59" t="e">
        <f>#REF!-'Previous day'!N7</f>
        <v>#REF!</v>
      </c>
      <c r="O7" s="5" t="e">
        <f>#REF!-'Previous day'!O7</f>
        <v>#REF!</v>
      </c>
      <c r="P7" s="5" t="e">
        <f>#REF!-'Previous day'!P7</f>
        <v>#REF!</v>
      </c>
      <c r="Q7" s="41" t="e">
        <f>#REF!-'Previous day'!Q7</f>
        <v>#REF!</v>
      </c>
      <c r="R7" s="41" t="e">
        <f>#REF!-'Previous day'!R7</f>
        <v>#REF!</v>
      </c>
      <c r="S7" s="41" t="e">
        <f>#REF!-'Previous day'!S7</f>
        <v>#REF!</v>
      </c>
      <c r="T7" s="41" t="e">
        <f>#REF!-'Previous day'!T7</f>
        <v>#REF!</v>
      </c>
      <c r="U7" s="41" t="e">
        <f>#REF!-'Previous day'!U7</f>
        <v>#REF!</v>
      </c>
      <c r="V7" s="41" t="e">
        <f>#REF!-'Previous day'!V7</f>
        <v>#REF!</v>
      </c>
      <c r="W7" s="41" t="e">
        <f>#REF!-'Previous day'!W7</f>
        <v>#REF!</v>
      </c>
      <c r="X7" s="7" t="e">
        <f>#REF!-'Previous day'!X7</f>
        <v>#REF!</v>
      </c>
      <c r="Y7" s="7" t="e">
        <f>#REF!-'Previous day'!Y7</f>
        <v>#REF!</v>
      </c>
      <c r="Z7" s="11" t="e">
        <f>#REF!-'Previous day'!Z7</f>
        <v>#REF!</v>
      </c>
      <c r="AA7" s="7" t="e">
        <f>#REF!-'Previous day'!AA7</f>
        <v>#REF!</v>
      </c>
      <c r="AB7" s="7" t="e">
        <f>#REF!-'Previous day'!AB7</f>
        <v>#REF!</v>
      </c>
      <c r="AC7" s="5"/>
    </row>
    <row r="8" spans="2:29" x14ac:dyDescent="0.25">
      <c r="B8" s="8">
        <f>B7+1</f>
        <v>44439</v>
      </c>
      <c r="C8" s="17" t="str">
        <f t="shared" ref="C8:C38" si="0">TEXT(B8,"ddd")</f>
        <v>Tue</v>
      </c>
      <c r="D8" s="6" t="e">
        <f>#REF!-'Previous day'!D8</f>
        <v>#REF!</v>
      </c>
      <c r="E8" s="17"/>
      <c r="F8" s="57" t="e">
        <f t="shared" ref="F8:F38" si="1">SUMPRODUCT($D$6:$E$6,D8:E8)</f>
        <v>#REF!</v>
      </c>
      <c r="G8" s="6" t="e">
        <f>#REF!-'Previous day'!G8</f>
        <v>#REF!</v>
      </c>
      <c r="H8" s="17"/>
      <c r="I8" s="17"/>
      <c r="J8" s="58" t="e">
        <f>#REF!-'Previous day'!J8</f>
        <v>#REF!</v>
      </c>
      <c r="K8" s="59" t="e">
        <f>#REF!-'Previous day'!K8</f>
        <v>#REF!</v>
      </c>
      <c r="L8" s="60"/>
      <c r="M8" s="60"/>
      <c r="N8" s="59" t="e">
        <f>#REF!-'Previous day'!N8</f>
        <v>#REF!</v>
      </c>
      <c r="O8" s="5" t="e">
        <f>#REF!-'Previous day'!O8</f>
        <v>#REF!</v>
      </c>
      <c r="P8" s="5" t="e">
        <f>#REF!-'Previous day'!P8</f>
        <v>#REF!</v>
      </c>
      <c r="Q8" s="41" t="e">
        <f>#REF!-'Previous day'!Q8</f>
        <v>#REF!</v>
      </c>
      <c r="R8" s="41" t="e">
        <f>#REF!-'Previous day'!R8</f>
        <v>#REF!</v>
      </c>
      <c r="S8" s="41" t="e">
        <f>#REF!-'Previous day'!S8</f>
        <v>#REF!</v>
      </c>
      <c r="T8" s="41" t="e">
        <f>#REF!-'Previous day'!T8</f>
        <v>#REF!</v>
      </c>
      <c r="U8" s="41" t="e">
        <f>#REF!-'Previous day'!U8</f>
        <v>#REF!</v>
      </c>
      <c r="V8" s="41" t="e">
        <f>#REF!-'Previous day'!V8</f>
        <v>#REF!</v>
      </c>
      <c r="W8" s="41" t="e">
        <f>#REF!-'Previous day'!W8</f>
        <v>#REF!</v>
      </c>
      <c r="X8" s="7" t="e">
        <f>#REF!-'Previous day'!X8</f>
        <v>#REF!</v>
      </c>
      <c r="Y8" s="7" t="e">
        <f>#REF!-'Previous day'!Y8</f>
        <v>#REF!</v>
      </c>
      <c r="Z8" s="11" t="e">
        <f>#REF!-'Previous day'!Z8</f>
        <v>#REF!</v>
      </c>
      <c r="AA8" s="7" t="e">
        <f>#REF!-'Previous day'!AA8</f>
        <v>#REF!</v>
      </c>
      <c r="AB8" s="7" t="e">
        <f>#REF!-'Previous day'!AB8</f>
        <v>#REF!</v>
      </c>
      <c r="AC8" s="5"/>
    </row>
    <row r="9" spans="2:29" x14ac:dyDescent="0.25">
      <c r="B9" s="8">
        <f t="shared" ref="B9:B38" si="2">B8+1</f>
        <v>44440</v>
      </c>
      <c r="C9" s="17" t="str">
        <f t="shared" si="0"/>
        <v>Wed</v>
      </c>
      <c r="D9" s="6" t="e">
        <f>#REF!-'Previous day'!D9</f>
        <v>#REF!</v>
      </c>
      <c r="E9" s="17"/>
      <c r="F9" s="57" t="e">
        <f t="shared" si="1"/>
        <v>#REF!</v>
      </c>
      <c r="G9" s="6" t="e">
        <f>#REF!-'Previous day'!G9</f>
        <v>#REF!</v>
      </c>
      <c r="H9" s="17"/>
      <c r="I9" s="17"/>
      <c r="J9" s="58" t="e">
        <f>#REF!-'Previous day'!J9</f>
        <v>#REF!</v>
      </c>
      <c r="K9" s="59" t="e">
        <f>#REF!-'Previous day'!K9</f>
        <v>#REF!</v>
      </c>
      <c r="L9" s="60">
        <v>0.29166666666666669</v>
      </c>
      <c r="M9" s="60">
        <v>0.37152777777777773</v>
      </c>
      <c r="N9" s="59" t="e">
        <f>#REF!-'Previous day'!N9</f>
        <v>#REF!</v>
      </c>
      <c r="O9" s="5" t="e">
        <f>#REF!-'Previous day'!O9</f>
        <v>#REF!</v>
      </c>
      <c r="P9" s="5" t="e">
        <f>#REF!-'Previous day'!P9</f>
        <v>#REF!</v>
      </c>
      <c r="Q9" s="41" t="e">
        <f>#REF!-'Previous day'!Q9</f>
        <v>#REF!</v>
      </c>
      <c r="R9" s="41" t="e">
        <f>#REF!-'Previous day'!R9</f>
        <v>#REF!</v>
      </c>
      <c r="S9" s="41" t="e">
        <f>#REF!-'Previous day'!S9</f>
        <v>#REF!</v>
      </c>
      <c r="T9" s="41" t="e">
        <f>#REF!-'Previous day'!T9</f>
        <v>#REF!</v>
      </c>
      <c r="U9" s="41" t="e">
        <f>#REF!-'Previous day'!U9</f>
        <v>#REF!</v>
      </c>
      <c r="V9" s="41" t="e">
        <f>#REF!-'Previous day'!V9</f>
        <v>#REF!</v>
      </c>
      <c r="W9" s="41" t="e">
        <f>#REF!-'Previous day'!W9</f>
        <v>#REF!</v>
      </c>
      <c r="X9" s="7" t="e">
        <f>#REF!-'Previous day'!X9</f>
        <v>#REF!</v>
      </c>
      <c r="Y9" s="7" t="e">
        <f>#REF!-'Previous day'!Y9</f>
        <v>#REF!</v>
      </c>
      <c r="Z9" s="11" t="e">
        <f>#REF!-'Previous day'!Z9</f>
        <v>#REF!</v>
      </c>
      <c r="AA9" s="7" t="e">
        <f>#REF!-'Previous day'!AA9</f>
        <v>#REF!</v>
      </c>
      <c r="AB9" s="7" t="e">
        <f>#REF!-'Previous day'!AB9</f>
        <v>#REF!</v>
      </c>
      <c r="AC9" s="5"/>
    </row>
    <row r="10" spans="2:29" x14ac:dyDescent="0.25">
      <c r="B10" s="8">
        <f t="shared" si="2"/>
        <v>44441</v>
      </c>
      <c r="C10" s="17" t="str">
        <f t="shared" si="0"/>
        <v>Thu</v>
      </c>
      <c r="D10" s="6" t="e">
        <f>#REF!-'Previous day'!D10</f>
        <v>#REF!</v>
      </c>
      <c r="E10" s="17"/>
      <c r="F10" s="57" t="e">
        <f t="shared" si="1"/>
        <v>#REF!</v>
      </c>
      <c r="G10" s="6" t="e">
        <f>#REF!-'Previous day'!G10</f>
        <v>#REF!</v>
      </c>
      <c r="H10" s="17"/>
      <c r="I10" s="17"/>
      <c r="J10" s="58" t="e">
        <f>#REF!-'Previous day'!J10</f>
        <v>#REF!</v>
      </c>
      <c r="K10" s="59" t="e">
        <f>#REF!-'Previous day'!K10</f>
        <v>#REF!</v>
      </c>
      <c r="L10" s="60"/>
      <c r="M10" s="60"/>
      <c r="N10" s="59" t="e">
        <f>#REF!-'Previous day'!N10</f>
        <v>#REF!</v>
      </c>
      <c r="O10" s="5" t="e">
        <f>#REF!-'Previous day'!O10</f>
        <v>#REF!</v>
      </c>
      <c r="P10" s="5" t="e">
        <f>#REF!-'Previous day'!P10</f>
        <v>#REF!</v>
      </c>
      <c r="Q10" s="41" t="e">
        <f>#REF!-'Previous day'!Q10</f>
        <v>#REF!</v>
      </c>
      <c r="R10" s="41" t="e">
        <f>#REF!-'Previous day'!R10</f>
        <v>#REF!</v>
      </c>
      <c r="S10" s="41" t="e">
        <f>#REF!-'Previous day'!S10</f>
        <v>#REF!</v>
      </c>
      <c r="T10" s="41" t="e">
        <f>#REF!-'Previous day'!T10</f>
        <v>#REF!</v>
      </c>
      <c r="U10" s="41" t="e">
        <f>#REF!-'Previous day'!U10</f>
        <v>#REF!</v>
      </c>
      <c r="V10" s="41" t="e">
        <f>#REF!-'Previous day'!V10</f>
        <v>#REF!</v>
      </c>
      <c r="W10" s="41" t="e">
        <f>#REF!-'Previous day'!W10</f>
        <v>#REF!</v>
      </c>
      <c r="X10" s="7" t="e">
        <f>#REF!-'Previous day'!X10</f>
        <v>#REF!</v>
      </c>
      <c r="Y10" s="7" t="e">
        <f>#REF!-'Previous day'!Y10</f>
        <v>#REF!</v>
      </c>
      <c r="Z10" s="11" t="e">
        <f>#REF!-'Previous day'!Z10</f>
        <v>#REF!</v>
      </c>
      <c r="AA10" s="7" t="e">
        <f>#REF!-'Previous day'!AA10</f>
        <v>#REF!</v>
      </c>
      <c r="AB10" s="7" t="e">
        <f>#REF!-'Previous day'!AB10</f>
        <v>#REF!</v>
      </c>
      <c r="AC10" s="5"/>
    </row>
    <row r="11" spans="2:29" x14ac:dyDescent="0.25">
      <c r="B11" s="8">
        <f t="shared" si="2"/>
        <v>44442</v>
      </c>
      <c r="C11" s="17" t="str">
        <f t="shared" si="0"/>
        <v>Fri</v>
      </c>
      <c r="D11" s="6" t="e">
        <f>#REF!-'Previous day'!D11</f>
        <v>#REF!</v>
      </c>
      <c r="E11" s="17"/>
      <c r="F11" s="57" t="e">
        <f t="shared" si="1"/>
        <v>#REF!</v>
      </c>
      <c r="G11" s="6" t="e">
        <f>#REF!-'Previous day'!G11</f>
        <v>#REF!</v>
      </c>
      <c r="H11" s="17"/>
      <c r="I11" s="17"/>
      <c r="J11" s="58" t="e">
        <f>#REF!-'Previous day'!J11</f>
        <v>#REF!</v>
      </c>
      <c r="K11" s="59" t="e">
        <f>#REF!-'Previous day'!K11</f>
        <v>#REF!</v>
      </c>
      <c r="L11" s="60"/>
      <c r="M11" s="60"/>
      <c r="N11" s="59" t="e">
        <f>#REF!-'Previous day'!N11</f>
        <v>#REF!</v>
      </c>
      <c r="O11" s="5" t="e">
        <f>#REF!-'Previous day'!O11</f>
        <v>#REF!</v>
      </c>
      <c r="P11" s="5" t="e">
        <f>#REF!-'Previous day'!P11</f>
        <v>#REF!</v>
      </c>
      <c r="Q11" s="41" t="e">
        <f>#REF!-'Previous day'!Q11</f>
        <v>#REF!</v>
      </c>
      <c r="R11" s="41" t="e">
        <f>#REF!-'Previous day'!R11</f>
        <v>#REF!</v>
      </c>
      <c r="S11" s="41" t="e">
        <f>#REF!-'Previous day'!S11</f>
        <v>#REF!</v>
      </c>
      <c r="T11" s="41" t="e">
        <f>#REF!-'Previous day'!T11</f>
        <v>#REF!</v>
      </c>
      <c r="U11" s="41" t="e">
        <f>#REF!-'Previous day'!U11</f>
        <v>#REF!</v>
      </c>
      <c r="V11" s="41" t="e">
        <f>#REF!-'Previous day'!V11</f>
        <v>#REF!</v>
      </c>
      <c r="W11" s="41" t="e">
        <f>#REF!-'Previous day'!W11</f>
        <v>#REF!</v>
      </c>
      <c r="X11" s="7" t="e">
        <f>#REF!-'Previous day'!X11</f>
        <v>#REF!</v>
      </c>
      <c r="Y11" s="7" t="e">
        <f>#REF!-'Previous day'!Y11</f>
        <v>#REF!</v>
      </c>
      <c r="Z11" s="11" t="e">
        <f>#REF!-'Previous day'!Z11</f>
        <v>#REF!</v>
      </c>
      <c r="AA11" s="7" t="e">
        <f>#REF!-'Previous day'!AA11</f>
        <v>#REF!</v>
      </c>
      <c r="AB11" s="7" t="e">
        <f>#REF!-'Previous day'!AB11</f>
        <v>#REF!</v>
      </c>
      <c r="AC11" s="5"/>
    </row>
    <row r="12" spans="2:29" x14ac:dyDescent="0.25">
      <c r="B12" s="8">
        <f t="shared" si="2"/>
        <v>44443</v>
      </c>
      <c r="C12" s="17" t="str">
        <f t="shared" si="0"/>
        <v>Sat</v>
      </c>
      <c r="D12" s="6" t="e">
        <f>#REF!-'Previous day'!D12</f>
        <v>#REF!</v>
      </c>
      <c r="E12" s="17"/>
      <c r="F12" s="57" t="e">
        <f t="shared" si="1"/>
        <v>#REF!</v>
      </c>
      <c r="G12" s="6" t="e">
        <f>#REF!-'Previous day'!G12</f>
        <v>#REF!</v>
      </c>
      <c r="H12" s="17"/>
      <c r="I12" s="17"/>
      <c r="J12" s="58" t="e">
        <f>#REF!-'Previous day'!J12</f>
        <v>#REF!</v>
      </c>
      <c r="K12" s="59" t="e">
        <f>#REF!-'Previous day'!K12</f>
        <v>#REF!</v>
      </c>
      <c r="L12" s="60">
        <v>0.61319444444444449</v>
      </c>
      <c r="M12" s="60">
        <v>0.6777777777777777</v>
      </c>
      <c r="N12" s="59" t="e">
        <f>#REF!-'Previous day'!N12</f>
        <v>#REF!</v>
      </c>
      <c r="O12" s="5" t="e">
        <f>#REF!-'Previous day'!O12</f>
        <v>#REF!</v>
      </c>
      <c r="P12" s="5" t="e">
        <f>#REF!-'Previous day'!P12</f>
        <v>#REF!</v>
      </c>
      <c r="Q12" s="41" t="e">
        <f>#REF!-'Previous day'!Q12</f>
        <v>#REF!</v>
      </c>
      <c r="R12" s="41" t="e">
        <f>#REF!-'Previous day'!R12</f>
        <v>#REF!</v>
      </c>
      <c r="S12" s="41" t="e">
        <f>#REF!-'Previous day'!S12</f>
        <v>#REF!</v>
      </c>
      <c r="T12" s="41" t="e">
        <f>#REF!-'Previous day'!T12</f>
        <v>#REF!</v>
      </c>
      <c r="U12" s="41" t="e">
        <f>#REF!-'Previous day'!U12</f>
        <v>#REF!</v>
      </c>
      <c r="V12" s="41" t="e">
        <f>#REF!-'Previous day'!V12</f>
        <v>#REF!</v>
      </c>
      <c r="W12" s="41" t="e">
        <f>#REF!-'Previous day'!W12</f>
        <v>#REF!</v>
      </c>
      <c r="X12" s="7" t="e">
        <f>#REF!-'Previous day'!X12</f>
        <v>#REF!</v>
      </c>
      <c r="Y12" s="7" t="e">
        <f>#REF!-'Previous day'!Y12</f>
        <v>#REF!</v>
      </c>
      <c r="Z12" s="11" t="e">
        <f>#REF!-'Previous day'!Z12</f>
        <v>#REF!</v>
      </c>
      <c r="AA12" s="7" t="e">
        <f>#REF!-'Previous day'!AA12</f>
        <v>#REF!</v>
      </c>
      <c r="AB12" s="7" t="e">
        <f>#REF!-'Previous day'!AB12</f>
        <v>#REF!</v>
      </c>
      <c r="AC12" s="5"/>
    </row>
    <row r="13" spans="2:29" x14ac:dyDescent="0.25">
      <c r="B13" s="8">
        <f t="shared" si="2"/>
        <v>44444</v>
      </c>
      <c r="C13" s="17" t="str">
        <f t="shared" si="0"/>
        <v>Sun</v>
      </c>
      <c r="D13" s="6" t="e">
        <f>#REF!-'Previous day'!D13</f>
        <v>#REF!</v>
      </c>
      <c r="E13" s="17"/>
      <c r="F13" s="57" t="e">
        <f t="shared" si="1"/>
        <v>#REF!</v>
      </c>
      <c r="G13" s="6" t="e">
        <f>#REF!-'Previous day'!G13</f>
        <v>#REF!</v>
      </c>
      <c r="H13" s="17"/>
      <c r="I13" s="17"/>
      <c r="J13" s="58" t="e">
        <f>#REF!-'Previous day'!J13</f>
        <v>#REF!</v>
      </c>
      <c r="K13" s="59" t="e">
        <f>#REF!-'Previous day'!K13</f>
        <v>#REF!</v>
      </c>
      <c r="L13" s="60">
        <v>0.26041666666666669</v>
      </c>
      <c r="M13" s="60">
        <v>0.54861111111111105</v>
      </c>
      <c r="N13" s="59" t="e">
        <f>#REF!-'Previous day'!N13</f>
        <v>#REF!</v>
      </c>
      <c r="O13" s="5" t="e">
        <f>#REF!-'Previous day'!O13</f>
        <v>#REF!</v>
      </c>
      <c r="P13" s="5" t="e">
        <f>#REF!-'Previous day'!P13</f>
        <v>#REF!</v>
      </c>
      <c r="Q13" s="41" t="e">
        <f>#REF!-'Previous day'!Q13</f>
        <v>#REF!</v>
      </c>
      <c r="R13" s="41" t="e">
        <f>#REF!-'Previous day'!R13</f>
        <v>#REF!</v>
      </c>
      <c r="S13" s="41" t="e">
        <f>#REF!-'Previous day'!S13</f>
        <v>#REF!</v>
      </c>
      <c r="T13" s="41" t="e">
        <f>#REF!-'Previous day'!T13</f>
        <v>#REF!</v>
      </c>
      <c r="U13" s="41" t="e">
        <f>#REF!-'Previous day'!U13</f>
        <v>#REF!</v>
      </c>
      <c r="V13" s="41" t="e">
        <f>#REF!-'Previous day'!V13</f>
        <v>#REF!</v>
      </c>
      <c r="W13" s="41" t="e">
        <f>#REF!-'Previous day'!W13</f>
        <v>#REF!</v>
      </c>
      <c r="X13" s="7" t="e">
        <f>#REF!-'Previous day'!X13</f>
        <v>#REF!</v>
      </c>
      <c r="Y13" s="7" t="e">
        <f>#REF!-'Previous day'!Y13</f>
        <v>#REF!</v>
      </c>
      <c r="Z13" s="12" t="e">
        <f>#REF!-'Previous day'!Z13</f>
        <v>#REF!</v>
      </c>
      <c r="AA13" s="7" t="e">
        <f>#REF!-'Previous day'!AA13</f>
        <v>#REF!</v>
      </c>
      <c r="AB13" s="7" t="e">
        <f>#REF!-'Previous day'!AB13</f>
        <v>#REF!</v>
      </c>
      <c r="AC13" s="5"/>
    </row>
    <row r="14" spans="2:29" x14ac:dyDescent="0.25">
      <c r="B14" s="8">
        <f t="shared" si="2"/>
        <v>44445</v>
      </c>
      <c r="C14" s="17" t="str">
        <f t="shared" si="0"/>
        <v>Mon</v>
      </c>
      <c r="D14" s="6" t="e">
        <f>#REF!-'Previous day'!D14</f>
        <v>#REF!</v>
      </c>
      <c r="E14" s="17"/>
      <c r="F14" s="57" t="e">
        <f t="shared" si="1"/>
        <v>#REF!</v>
      </c>
      <c r="G14" s="6" t="e">
        <f>#REF!-'Previous day'!G14</f>
        <v>#REF!</v>
      </c>
      <c r="H14" s="17"/>
      <c r="I14" s="17"/>
      <c r="J14" s="58" t="e">
        <f>#REF!-'Previous day'!J14</f>
        <v>#REF!</v>
      </c>
      <c r="K14" s="59" t="e">
        <f>#REF!-'Previous day'!K14</f>
        <v>#REF!</v>
      </c>
      <c r="L14" s="61"/>
      <c r="M14" s="61"/>
      <c r="N14" s="59" t="e">
        <f>#REF!-'Previous day'!N14</f>
        <v>#REF!</v>
      </c>
      <c r="O14" s="5" t="e">
        <f>#REF!-'Previous day'!O14</f>
        <v>#REF!</v>
      </c>
      <c r="P14" s="5" t="e">
        <f>#REF!-'Previous day'!P14</f>
        <v>#REF!</v>
      </c>
      <c r="Q14" s="41" t="e">
        <f>#REF!-'Previous day'!Q14</f>
        <v>#REF!</v>
      </c>
      <c r="R14" s="41" t="e">
        <f>#REF!-'Previous day'!R14</f>
        <v>#REF!</v>
      </c>
      <c r="S14" s="41" t="e">
        <f>#REF!-'Previous day'!S14</f>
        <v>#REF!</v>
      </c>
      <c r="T14" s="41" t="e">
        <f>#REF!-'Previous day'!T14</f>
        <v>#REF!</v>
      </c>
      <c r="U14" s="41" t="e">
        <f>#REF!-'Previous day'!U14</f>
        <v>#REF!</v>
      </c>
      <c r="V14" s="41" t="e">
        <f>#REF!-'Previous day'!V14</f>
        <v>#REF!</v>
      </c>
      <c r="W14" s="41" t="e">
        <f>#REF!-'Previous day'!W14</f>
        <v>#REF!</v>
      </c>
      <c r="X14" s="7" t="e">
        <f>#REF!-'Previous day'!X14</f>
        <v>#REF!</v>
      </c>
      <c r="Y14" s="7" t="e">
        <f>#REF!-'Previous day'!Y14</f>
        <v>#REF!</v>
      </c>
      <c r="Z14" s="10" t="e">
        <f>#REF!-'Previous day'!Z14</f>
        <v>#REF!</v>
      </c>
      <c r="AA14" s="7" t="e">
        <f>#REF!-'Previous day'!AA14</f>
        <v>#REF!</v>
      </c>
      <c r="AB14" s="7" t="e">
        <f>#REF!-'Previous day'!AB14</f>
        <v>#REF!</v>
      </c>
      <c r="AC14" s="5"/>
    </row>
    <row r="15" spans="2:29" x14ac:dyDescent="0.25">
      <c r="B15" s="8">
        <f t="shared" si="2"/>
        <v>44446</v>
      </c>
      <c r="C15" s="17" t="str">
        <f t="shared" si="0"/>
        <v>Tue</v>
      </c>
      <c r="D15" s="6" t="e">
        <f>#REF!-'Previous day'!D15</f>
        <v>#REF!</v>
      </c>
      <c r="E15" s="17"/>
      <c r="F15" s="57" t="e">
        <f t="shared" si="1"/>
        <v>#REF!</v>
      </c>
      <c r="G15" s="6" t="e">
        <f>#REF!-'Previous day'!G15</f>
        <v>#REF!</v>
      </c>
      <c r="H15" s="17"/>
      <c r="I15" s="17"/>
      <c r="J15" s="58" t="e">
        <f>#REF!-'Previous day'!J15</f>
        <v>#REF!</v>
      </c>
      <c r="K15" s="59" t="e">
        <f>#REF!-'Previous day'!K15</f>
        <v>#REF!</v>
      </c>
      <c r="L15" s="61"/>
      <c r="M15" s="61"/>
      <c r="N15" s="59" t="e">
        <f>#REF!-'Previous day'!N15</f>
        <v>#REF!</v>
      </c>
      <c r="O15" s="5" t="e">
        <f>#REF!-'Previous day'!O15</f>
        <v>#REF!</v>
      </c>
      <c r="P15" s="5" t="e">
        <f>#REF!-'Previous day'!P15</f>
        <v>#REF!</v>
      </c>
      <c r="Q15" s="41" t="e">
        <f>#REF!-'Previous day'!Q15</f>
        <v>#REF!</v>
      </c>
      <c r="R15" s="41" t="e">
        <f>#REF!-'Previous day'!R15</f>
        <v>#REF!</v>
      </c>
      <c r="S15" s="41" t="e">
        <f>#REF!-'Previous day'!S15</f>
        <v>#REF!</v>
      </c>
      <c r="T15" s="41" t="e">
        <f>#REF!-'Previous day'!T15</f>
        <v>#REF!</v>
      </c>
      <c r="U15" s="41" t="e">
        <f>#REF!-'Previous day'!U15</f>
        <v>#REF!</v>
      </c>
      <c r="V15" s="41" t="e">
        <f>#REF!-'Previous day'!V15</f>
        <v>#REF!</v>
      </c>
      <c r="W15" s="41" t="e">
        <f>#REF!-'Previous day'!W15</f>
        <v>#REF!</v>
      </c>
      <c r="X15" s="7" t="e">
        <f>#REF!-'Previous day'!X15</f>
        <v>#REF!</v>
      </c>
      <c r="Y15" s="7" t="e">
        <f>#REF!-'Previous day'!Y15</f>
        <v>#REF!</v>
      </c>
      <c r="Z15" s="10" t="e">
        <f>#REF!-'Previous day'!Z15</f>
        <v>#REF!</v>
      </c>
      <c r="AA15" s="7" t="e">
        <f>#REF!-'Previous day'!AA15</f>
        <v>#REF!</v>
      </c>
      <c r="AB15" s="7" t="e">
        <f>#REF!-'Previous day'!AB15</f>
        <v>#REF!</v>
      </c>
      <c r="AC15" s="5"/>
    </row>
    <row r="16" spans="2:29" x14ac:dyDescent="0.25">
      <c r="B16" s="8">
        <f t="shared" si="2"/>
        <v>44447</v>
      </c>
      <c r="C16" s="17" t="str">
        <f t="shared" si="0"/>
        <v>Wed</v>
      </c>
      <c r="D16" s="6" t="e">
        <f>#REF!-'Previous day'!D16</f>
        <v>#REF!</v>
      </c>
      <c r="E16" s="17"/>
      <c r="F16" s="57" t="e">
        <f t="shared" si="1"/>
        <v>#REF!</v>
      </c>
      <c r="G16" s="6" t="e">
        <f>#REF!-'Previous day'!G16</f>
        <v>#REF!</v>
      </c>
      <c r="H16" s="17"/>
      <c r="I16" s="17"/>
      <c r="J16" s="58" t="e">
        <f>#REF!-'Previous day'!J16</f>
        <v>#REF!</v>
      </c>
      <c r="K16" s="59" t="e">
        <f>#REF!-'Previous day'!K16</f>
        <v>#REF!</v>
      </c>
      <c r="L16" s="5"/>
      <c r="M16" s="5"/>
      <c r="N16" s="59" t="e">
        <f>#REF!-'Previous day'!N16</f>
        <v>#REF!</v>
      </c>
      <c r="O16" s="5" t="e">
        <f>#REF!-'Previous day'!O16</f>
        <v>#REF!</v>
      </c>
      <c r="P16" s="5" t="e">
        <f>#REF!-'Previous day'!P16</f>
        <v>#REF!</v>
      </c>
      <c r="Q16" s="41" t="e">
        <f>#REF!-'Previous day'!Q16</f>
        <v>#REF!</v>
      </c>
      <c r="R16" s="41" t="e">
        <f>#REF!-'Previous day'!R16</f>
        <v>#REF!</v>
      </c>
      <c r="S16" s="41" t="e">
        <f>#REF!-'Previous day'!S16</f>
        <v>#REF!</v>
      </c>
      <c r="T16" s="41" t="e">
        <f>#REF!-'Previous day'!T16</f>
        <v>#REF!</v>
      </c>
      <c r="U16" s="41" t="e">
        <f>#REF!-'Previous day'!U16</f>
        <v>#REF!</v>
      </c>
      <c r="V16" s="41" t="e">
        <f>#REF!-'Previous day'!V16</f>
        <v>#REF!</v>
      </c>
      <c r="W16" s="41" t="e">
        <f>#REF!-'Previous day'!W16</f>
        <v>#REF!</v>
      </c>
      <c r="X16" s="7" t="e">
        <f>#REF!-'Previous day'!X16</f>
        <v>#REF!</v>
      </c>
      <c r="Y16" s="7" t="e">
        <f>#REF!-'Previous day'!Y16</f>
        <v>#REF!</v>
      </c>
      <c r="Z16" s="10" t="e">
        <f>#REF!-'Previous day'!Z16</f>
        <v>#REF!</v>
      </c>
      <c r="AA16" s="7" t="e">
        <f>#REF!-'Previous day'!AA16</f>
        <v>#REF!</v>
      </c>
      <c r="AB16" s="7" t="e">
        <f>#REF!-'Previous day'!AB16</f>
        <v>#REF!</v>
      </c>
      <c r="AC16" s="5"/>
    </row>
    <row r="17" spans="2:29" x14ac:dyDescent="0.25">
      <c r="B17" s="8">
        <f t="shared" si="2"/>
        <v>44448</v>
      </c>
      <c r="C17" s="17" t="str">
        <f t="shared" si="0"/>
        <v>Thu</v>
      </c>
      <c r="D17" s="6" t="e">
        <f>#REF!-'Previous day'!D17</f>
        <v>#REF!</v>
      </c>
      <c r="E17" s="17"/>
      <c r="F17" s="57" t="e">
        <f t="shared" si="1"/>
        <v>#REF!</v>
      </c>
      <c r="G17" s="6" t="e">
        <f>#REF!-'Previous day'!G17</f>
        <v>#REF!</v>
      </c>
      <c r="H17" s="17"/>
      <c r="I17" s="17"/>
      <c r="J17" s="58" t="e">
        <f>#REF!-'Previous day'!J17</f>
        <v>#REF!</v>
      </c>
      <c r="K17" s="59" t="e">
        <f>#REF!-'Previous day'!K17</f>
        <v>#REF!</v>
      </c>
      <c r="L17" s="62">
        <v>0.29930555555555555</v>
      </c>
      <c r="M17" s="62">
        <v>0.31527777777777777</v>
      </c>
      <c r="N17" s="59" t="e">
        <f>#REF!-'Previous day'!N17</f>
        <v>#REF!</v>
      </c>
      <c r="O17" s="5" t="e">
        <f>#REF!-'Previous day'!O17</f>
        <v>#REF!</v>
      </c>
      <c r="P17" s="5" t="e">
        <f>#REF!-'Previous day'!P17</f>
        <v>#REF!</v>
      </c>
      <c r="Q17" s="41" t="e">
        <f>#REF!-'Previous day'!Q17</f>
        <v>#REF!</v>
      </c>
      <c r="R17" s="41" t="e">
        <f>#REF!-'Previous day'!R17</f>
        <v>#REF!</v>
      </c>
      <c r="S17" s="41" t="e">
        <f>#REF!-'Previous day'!S17</f>
        <v>#REF!</v>
      </c>
      <c r="T17" s="41" t="e">
        <f>#REF!-'Previous day'!T17</f>
        <v>#REF!</v>
      </c>
      <c r="U17" s="41" t="e">
        <f>#REF!-'Previous day'!U17</f>
        <v>#REF!</v>
      </c>
      <c r="V17" s="41" t="e">
        <f>#REF!-'Previous day'!V17</f>
        <v>#REF!</v>
      </c>
      <c r="W17" s="41" t="e">
        <f>#REF!-'Previous day'!W17</f>
        <v>#REF!</v>
      </c>
      <c r="X17" s="7" t="e">
        <f>#REF!-'Previous day'!X17</f>
        <v>#REF!</v>
      </c>
      <c r="Y17" s="7" t="e">
        <f>#REF!-'Previous day'!Y17</f>
        <v>#REF!</v>
      </c>
      <c r="Z17" s="10" t="e">
        <f>#REF!-'Previous day'!Z17</f>
        <v>#REF!</v>
      </c>
      <c r="AA17" s="7" t="e">
        <f>#REF!-'Previous day'!AA17</f>
        <v>#REF!</v>
      </c>
      <c r="AB17" s="7" t="e">
        <f>#REF!-'Previous day'!AB17</f>
        <v>#REF!</v>
      </c>
      <c r="AC17" s="5"/>
    </row>
    <row r="18" spans="2:29" x14ac:dyDescent="0.25">
      <c r="B18" s="8">
        <f t="shared" si="2"/>
        <v>44449</v>
      </c>
      <c r="C18" s="17" t="str">
        <f t="shared" si="0"/>
        <v>Fri</v>
      </c>
      <c r="D18" s="6" t="e">
        <f>#REF!-'Previous day'!D18</f>
        <v>#REF!</v>
      </c>
      <c r="E18" s="17"/>
      <c r="F18" s="57" t="e">
        <f t="shared" si="1"/>
        <v>#REF!</v>
      </c>
      <c r="G18" s="6" t="e">
        <f>#REF!-'Previous day'!G18</f>
        <v>#REF!</v>
      </c>
      <c r="H18" s="17"/>
      <c r="I18" s="17"/>
      <c r="J18" s="58" t="e">
        <f>#REF!-'Previous day'!J18</f>
        <v>#REF!</v>
      </c>
      <c r="K18" s="59" t="e">
        <f>#REF!-'Previous day'!K18</f>
        <v>#REF!</v>
      </c>
      <c r="L18" s="62"/>
      <c r="M18" s="62"/>
      <c r="N18" s="59" t="e">
        <f>#REF!-'Previous day'!N18</f>
        <v>#REF!</v>
      </c>
      <c r="O18" s="5" t="e">
        <f>#REF!-'Previous day'!O18</f>
        <v>#REF!</v>
      </c>
      <c r="P18" s="5" t="e">
        <f>#REF!-'Previous day'!P18</f>
        <v>#REF!</v>
      </c>
      <c r="Q18" s="41" t="e">
        <f>#REF!-'Previous day'!Q18</f>
        <v>#REF!</v>
      </c>
      <c r="R18" s="41" t="e">
        <f>#REF!-'Previous day'!R18</f>
        <v>#REF!</v>
      </c>
      <c r="S18" s="41" t="e">
        <f>#REF!-'Previous day'!S18</f>
        <v>#REF!</v>
      </c>
      <c r="T18" s="41" t="e">
        <f>#REF!-'Previous day'!T18</f>
        <v>#REF!</v>
      </c>
      <c r="U18" s="41" t="e">
        <f>#REF!-'Previous day'!U18</f>
        <v>#REF!</v>
      </c>
      <c r="V18" s="41" t="e">
        <f>#REF!-'Previous day'!V18</f>
        <v>#REF!</v>
      </c>
      <c r="W18" s="41" t="e">
        <f>#REF!-'Previous day'!W18</f>
        <v>#REF!</v>
      </c>
      <c r="X18" s="7" t="e">
        <f>#REF!-'Previous day'!X18</f>
        <v>#REF!</v>
      </c>
      <c r="Y18" s="7" t="e">
        <f>#REF!-'Previous day'!Y18</f>
        <v>#REF!</v>
      </c>
      <c r="Z18" s="10" t="e">
        <f>#REF!-'Previous day'!Z18</f>
        <v>#REF!</v>
      </c>
      <c r="AA18" s="7" t="e">
        <f>#REF!-'Previous day'!AA18</f>
        <v>#REF!</v>
      </c>
      <c r="AB18" s="7" t="e">
        <f>#REF!-'Previous day'!AB18</f>
        <v>#REF!</v>
      </c>
      <c r="AC18" s="5"/>
    </row>
    <row r="19" spans="2:29" x14ac:dyDescent="0.25">
      <c r="B19" s="8">
        <f t="shared" si="2"/>
        <v>44450</v>
      </c>
      <c r="C19" s="17" t="str">
        <f t="shared" si="0"/>
        <v>Sat</v>
      </c>
      <c r="D19" s="6" t="e">
        <f>#REF!-'Previous day'!D19</f>
        <v>#REF!</v>
      </c>
      <c r="E19" s="17"/>
      <c r="F19" s="57" t="e">
        <f t="shared" si="1"/>
        <v>#REF!</v>
      </c>
      <c r="G19" s="6" t="e">
        <f>#REF!-'Previous day'!G19</f>
        <v>#REF!</v>
      </c>
      <c r="H19" s="17"/>
      <c r="I19" s="17"/>
      <c r="J19" s="58" t="e">
        <f>#REF!-'Previous day'!J19</f>
        <v>#REF!</v>
      </c>
      <c r="K19" s="59" t="e">
        <f>#REF!-'Previous day'!K19</f>
        <v>#REF!</v>
      </c>
      <c r="L19" s="62">
        <v>0.67708333333333337</v>
      </c>
      <c r="M19" s="62">
        <v>0.72222222222222221</v>
      </c>
      <c r="N19" s="59" t="e">
        <f>#REF!-'Previous day'!N19</f>
        <v>#REF!</v>
      </c>
      <c r="O19" s="5" t="e">
        <f>#REF!-'Previous day'!O19</f>
        <v>#REF!</v>
      </c>
      <c r="P19" s="5" t="e">
        <f>#REF!-'Previous day'!P19</f>
        <v>#REF!</v>
      </c>
      <c r="Q19" s="41" t="e">
        <f>#REF!-'Previous day'!Q19</f>
        <v>#REF!</v>
      </c>
      <c r="R19" s="41" t="e">
        <f>#REF!-'Previous day'!R19</f>
        <v>#REF!</v>
      </c>
      <c r="S19" s="41" t="e">
        <f>#REF!-'Previous day'!S19</f>
        <v>#REF!</v>
      </c>
      <c r="T19" s="41" t="e">
        <f>#REF!-'Previous day'!T19</f>
        <v>#REF!</v>
      </c>
      <c r="U19" s="41" t="e">
        <f>#REF!-'Previous day'!U19</f>
        <v>#REF!</v>
      </c>
      <c r="V19" s="41" t="e">
        <f>#REF!-'Previous day'!V19</f>
        <v>#REF!</v>
      </c>
      <c r="W19" s="41" t="e">
        <f>#REF!-'Previous day'!W19</f>
        <v>#REF!</v>
      </c>
      <c r="X19" s="7" t="e">
        <f>#REF!-'Previous day'!X19</f>
        <v>#REF!</v>
      </c>
      <c r="Y19" s="7" t="e">
        <f>#REF!-'Previous day'!Y19</f>
        <v>#REF!</v>
      </c>
      <c r="Z19" s="10" t="e">
        <f>#REF!-'Previous day'!Z19</f>
        <v>#REF!</v>
      </c>
      <c r="AA19" s="7" t="e">
        <f>#REF!-'Previous day'!AA19</f>
        <v>#REF!</v>
      </c>
      <c r="AB19" s="7" t="e">
        <f>#REF!-'Previous day'!AB19</f>
        <v>#REF!</v>
      </c>
      <c r="AC19" s="5"/>
    </row>
    <row r="20" spans="2:29" x14ac:dyDescent="0.25">
      <c r="B20" s="8">
        <f t="shared" si="2"/>
        <v>44451</v>
      </c>
      <c r="C20" s="17" t="str">
        <f t="shared" si="0"/>
        <v>Sun</v>
      </c>
      <c r="D20" s="6" t="e">
        <f>#REF!-'Previous day'!D20</f>
        <v>#REF!</v>
      </c>
      <c r="E20" s="17"/>
      <c r="F20" s="57" t="e">
        <f t="shared" si="1"/>
        <v>#REF!</v>
      </c>
      <c r="G20" s="6" t="e">
        <f>#REF!-'Previous day'!G20</f>
        <v>#REF!</v>
      </c>
      <c r="H20" s="17"/>
      <c r="I20" s="17"/>
      <c r="J20" s="58" t="e">
        <f>#REF!-'Previous day'!J20</f>
        <v>#REF!</v>
      </c>
      <c r="K20" s="59" t="e">
        <f>#REF!-'Previous day'!K20</f>
        <v>#REF!</v>
      </c>
      <c r="L20" s="62"/>
      <c r="M20" s="62"/>
      <c r="N20" s="59" t="e">
        <f>#REF!-'Previous day'!N20</f>
        <v>#REF!</v>
      </c>
      <c r="O20" s="5" t="e">
        <f>#REF!-'Previous day'!O20</f>
        <v>#REF!</v>
      </c>
      <c r="P20" s="5" t="e">
        <f>#REF!-'Previous day'!P20</f>
        <v>#REF!</v>
      </c>
      <c r="Q20" s="41" t="e">
        <f>#REF!-'Previous day'!Q20</f>
        <v>#REF!</v>
      </c>
      <c r="R20" s="41" t="e">
        <f>#REF!-'Previous day'!R20</f>
        <v>#REF!</v>
      </c>
      <c r="S20" s="41" t="e">
        <f>#REF!-'Previous day'!S20</f>
        <v>#REF!</v>
      </c>
      <c r="T20" s="41" t="e">
        <f>#REF!-'Previous day'!T20</f>
        <v>#REF!</v>
      </c>
      <c r="U20" s="41" t="e">
        <f>#REF!-'Previous day'!U20</f>
        <v>#REF!</v>
      </c>
      <c r="V20" s="41" t="e">
        <f>#REF!-'Previous day'!V20</f>
        <v>#REF!</v>
      </c>
      <c r="W20" s="41" t="e">
        <f>#REF!-'Previous day'!W20</f>
        <v>#REF!</v>
      </c>
      <c r="X20" s="7" t="e">
        <f>#REF!-'Previous day'!X20</f>
        <v>#REF!</v>
      </c>
      <c r="Y20" s="7" t="e">
        <f>#REF!-'Previous day'!Y20</f>
        <v>#REF!</v>
      </c>
      <c r="Z20" s="10" t="e">
        <f>#REF!-'Previous day'!Z20</f>
        <v>#REF!</v>
      </c>
      <c r="AA20" s="7" t="e">
        <f>#REF!-'Previous day'!AA20</f>
        <v>#REF!</v>
      </c>
      <c r="AB20" s="7" t="e">
        <f>#REF!-'Previous day'!AB20</f>
        <v>#REF!</v>
      </c>
      <c r="AC20" s="5"/>
    </row>
    <row r="21" spans="2:29" x14ac:dyDescent="0.25">
      <c r="B21" s="8">
        <f t="shared" si="2"/>
        <v>44452</v>
      </c>
      <c r="C21" s="17" t="str">
        <f t="shared" si="0"/>
        <v>Mon</v>
      </c>
      <c r="D21" s="6" t="e">
        <f>#REF!-'Previous day'!D21</f>
        <v>#REF!</v>
      </c>
      <c r="E21" s="17"/>
      <c r="F21" s="57" t="e">
        <f t="shared" si="1"/>
        <v>#REF!</v>
      </c>
      <c r="G21" s="6" t="e">
        <f>#REF!-'Previous day'!G21</f>
        <v>#REF!</v>
      </c>
      <c r="H21" s="17"/>
      <c r="I21" s="17"/>
      <c r="J21" s="58" t="e">
        <f>#REF!-'Previous day'!J21</f>
        <v>#REF!</v>
      </c>
      <c r="K21" s="59" t="e">
        <f>#REF!-'Previous day'!K21</f>
        <v>#REF!</v>
      </c>
      <c r="L21" s="62">
        <v>0.35069444444444442</v>
      </c>
      <c r="M21" s="62">
        <v>0.36527777777777781</v>
      </c>
      <c r="N21" s="59" t="e">
        <f>#REF!-'Previous day'!N21</f>
        <v>#REF!</v>
      </c>
      <c r="O21" s="5" t="e">
        <f>#REF!-'Previous day'!O21</f>
        <v>#REF!</v>
      </c>
      <c r="P21" s="5" t="e">
        <f>#REF!-'Previous day'!P21</f>
        <v>#REF!</v>
      </c>
      <c r="Q21" s="41" t="e">
        <f>#REF!-'Previous day'!Q21</f>
        <v>#REF!</v>
      </c>
      <c r="R21" s="41" t="e">
        <f>#REF!-'Previous day'!R21</f>
        <v>#REF!</v>
      </c>
      <c r="S21" s="41" t="e">
        <f>#REF!-'Previous day'!S21</f>
        <v>#REF!</v>
      </c>
      <c r="T21" s="41" t="e">
        <f>#REF!-'Previous day'!T21</f>
        <v>#REF!</v>
      </c>
      <c r="U21" s="41" t="e">
        <f>#REF!-'Previous day'!U21</f>
        <v>#REF!</v>
      </c>
      <c r="V21" s="41" t="e">
        <f>#REF!-'Previous day'!V21</f>
        <v>#REF!</v>
      </c>
      <c r="W21" s="41" t="e">
        <f>#REF!-'Previous day'!W21</f>
        <v>#REF!</v>
      </c>
      <c r="X21" s="7" t="e">
        <f>#REF!-'Previous day'!X21</f>
        <v>#REF!</v>
      </c>
      <c r="Y21" s="7" t="e">
        <f>#REF!-'Previous day'!Y21</f>
        <v>#REF!</v>
      </c>
      <c r="Z21" s="10" t="e">
        <f>#REF!-'Previous day'!Z21</f>
        <v>#REF!</v>
      </c>
      <c r="AA21" s="7" t="e">
        <f>#REF!-'Previous day'!AA21</f>
        <v>#REF!</v>
      </c>
      <c r="AB21" s="7" t="e">
        <f>#REF!-'Previous day'!AB21</f>
        <v>#REF!</v>
      </c>
      <c r="AC21" s="5"/>
    </row>
    <row r="22" spans="2:29" x14ac:dyDescent="0.25">
      <c r="B22" s="8">
        <f t="shared" si="2"/>
        <v>44453</v>
      </c>
      <c r="C22" s="17" t="str">
        <f t="shared" si="0"/>
        <v>Tue</v>
      </c>
      <c r="D22" s="6" t="e">
        <f>#REF!-'Previous day'!D22</f>
        <v>#REF!</v>
      </c>
      <c r="E22" s="17"/>
      <c r="F22" s="57" t="e">
        <f t="shared" si="1"/>
        <v>#REF!</v>
      </c>
      <c r="G22" s="6" t="e">
        <f>#REF!-'Previous day'!G22</f>
        <v>#REF!</v>
      </c>
      <c r="H22" s="17"/>
      <c r="I22" s="17"/>
      <c r="J22" s="58" t="e">
        <f>#REF!-'Previous day'!J22</f>
        <v>#REF!</v>
      </c>
      <c r="K22" s="59" t="e">
        <f>#REF!-'Previous day'!K22</f>
        <v>#REF!</v>
      </c>
      <c r="L22" s="5"/>
      <c r="M22" s="5"/>
      <c r="N22" s="59" t="e">
        <f>#REF!-'Previous day'!N22</f>
        <v>#REF!</v>
      </c>
      <c r="O22" s="5" t="e">
        <f>#REF!-'Previous day'!O22</f>
        <v>#REF!</v>
      </c>
      <c r="P22" s="5" t="e">
        <f>#REF!-'Previous day'!P22</f>
        <v>#REF!</v>
      </c>
      <c r="Q22" s="41" t="e">
        <f>#REF!-'Previous day'!Q22</f>
        <v>#REF!</v>
      </c>
      <c r="R22" s="41" t="e">
        <f>#REF!-'Previous day'!R22</f>
        <v>#REF!</v>
      </c>
      <c r="S22" s="41" t="e">
        <f>#REF!-'Previous day'!S22</f>
        <v>#REF!</v>
      </c>
      <c r="T22" s="41" t="e">
        <f>#REF!-'Previous day'!T22</f>
        <v>#REF!</v>
      </c>
      <c r="U22" s="41" t="e">
        <f>#REF!-'Previous day'!U22</f>
        <v>#REF!</v>
      </c>
      <c r="V22" s="41" t="e">
        <f>#REF!-'Previous day'!V22</f>
        <v>#REF!</v>
      </c>
      <c r="W22" s="41" t="e">
        <f>#REF!-'Previous day'!W22</f>
        <v>#REF!</v>
      </c>
      <c r="X22" s="7" t="e">
        <f>#REF!-'Previous day'!X22</f>
        <v>#REF!</v>
      </c>
      <c r="Y22" s="7" t="e">
        <f>#REF!-'Previous day'!Y22</f>
        <v>#REF!</v>
      </c>
      <c r="Z22" s="10" t="e">
        <f>#REF!-'Previous day'!Z22</f>
        <v>#REF!</v>
      </c>
      <c r="AA22" s="7" t="e">
        <f>#REF!-'Previous day'!AA22</f>
        <v>#REF!</v>
      </c>
      <c r="AB22" s="7" t="e">
        <f>#REF!-'Previous day'!AB22</f>
        <v>#REF!</v>
      </c>
      <c r="AC22" s="5"/>
    </row>
    <row r="23" spans="2:29" x14ac:dyDescent="0.25">
      <c r="B23" s="8">
        <f t="shared" si="2"/>
        <v>44454</v>
      </c>
      <c r="C23" s="17" t="str">
        <f t="shared" si="0"/>
        <v>Wed</v>
      </c>
      <c r="D23" s="6" t="e">
        <f>#REF!-'Previous day'!D23</f>
        <v>#REF!</v>
      </c>
      <c r="E23" s="17"/>
      <c r="F23" s="57" t="e">
        <f t="shared" si="1"/>
        <v>#REF!</v>
      </c>
      <c r="G23" s="6" t="e">
        <f>#REF!-'Previous day'!G23</f>
        <v>#REF!</v>
      </c>
      <c r="H23" s="17"/>
      <c r="I23" s="17"/>
      <c r="J23" s="58" t="e">
        <f>#REF!-'Previous day'!J23</f>
        <v>#REF!</v>
      </c>
      <c r="K23" s="59" t="e">
        <f>#REF!-'Previous day'!K23</f>
        <v>#REF!</v>
      </c>
      <c r="L23" s="5"/>
      <c r="M23" s="5"/>
      <c r="N23" s="59" t="e">
        <f>#REF!-'Previous day'!N23</f>
        <v>#REF!</v>
      </c>
      <c r="O23" s="5" t="e">
        <f>#REF!-'Previous day'!O23</f>
        <v>#REF!</v>
      </c>
      <c r="P23" s="5" t="e">
        <f>#REF!-'Previous day'!P23</f>
        <v>#REF!</v>
      </c>
      <c r="Q23" s="41" t="e">
        <f>#REF!-'Previous day'!Q23</f>
        <v>#REF!</v>
      </c>
      <c r="R23" s="41" t="e">
        <f>#REF!-'Previous day'!R23</f>
        <v>#REF!</v>
      </c>
      <c r="S23" s="41" t="e">
        <f>#REF!-'Previous day'!S23</f>
        <v>#REF!</v>
      </c>
      <c r="T23" s="41" t="e">
        <f>#REF!-'Previous day'!T23</f>
        <v>#REF!</v>
      </c>
      <c r="U23" s="41" t="e">
        <f>#REF!-'Previous day'!U23</f>
        <v>#REF!</v>
      </c>
      <c r="V23" s="41" t="e">
        <f>#REF!-'Previous day'!V23</f>
        <v>#REF!</v>
      </c>
      <c r="W23" s="41" t="e">
        <f>#REF!-'Previous day'!W23</f>
        <v>#REF!</v>
      </c>
      <c r="X23" s="7" t="e">
        <f>#REF!-'Previous day'!X23</f>
        <v>#REF!</v>
      </c>
      <c r="Y23" s="7" t="e">
        <f>#REF!-'Previous day'!Y23</f>
        <v>#REF!</v>
      </c>
      <c r="Z23" s="10" t="e">
        <f>#REF!-'Previous day'!Z23</f>
        <v>#REF!</v>
      </c>
      <c r="AA23" s="7" t="e">
        <f>#REF!-'Previous day'!AA23</f>
        <v>#REF!</v>
      </c>
      <c r="AB23" s="7" t="e">
        <f>#REF!-'Previous day'!AB23</f>
        <v>#REF!</v>
      </c>
      <c r="AC23" s="5"/>
    </row>
    <row r="24" spans="2:29" x14ac:dyDescent="0.25">
      <c r="B24" s="8">
        <f t="shared" si="2"/>
        <v>44455</v>
      </c>
      <c r="C24" s="17" t="str">
        <f t="shared" si="0"/>
        <v>Thu</v>
      </c>
      <c r="D24" s="6" t="e">
        <f>#REF!-'Previous day'!D24</f>
        <v>#REF!</v>
      </c>
      <c r="E24" s="17"/>
      <c r="F24" s="57" t="e">
        <f t="shared" si="1"/>
        <v>#REF!</v>
      </c>
      <c r="G24" s="6" t="e">
        <f>#REF!-'Previous day'!G24</f>
        <v>#REF!</v>
      </c>
      <c r="H24" s="17"/>
      <c r="I24" s="17"/>
      <c r="J24" s="58" t="e">
        <f>#REF!-'Previous day'!J24</f>
        <v>#REF!</v>
      </c>
      <c r="K24" s="59" t="e">
        <f>#REF!-'Previous day'!K24</f>
        <v>#REF!</v>
      </c>
      <c r="L24" s="5"/>
      <c r="M24" s="5"/>
      <c r="N24" s="59" t="e">
        <f>#REF!-'Previous day'!N24</f>
        <v>#REF!</v>
      </c>
      <c r="O24" s="5" t="e">
        <f>#REF!-'Previous day'!O24</f>
        <v>#REF!</v>
      </c>
      <c r="P24" s="5" t="e">
        <f>#REF!-'Previous day'!P24</f>
        <v>#REF!</v>
      </c>
      <c r="Q24" s="41" t="e">
        <f>#REF!-'Previous day'!Q24</f>
        <v>#REF!</v>
      </c>
      <c r="R24" s="41" t="e">
        <f>#REF!-'Previous day'!R24</f>
        <v>#REF!</v>
      </c>
      <c r="S24" s="41" t="e">
        <f>#REF!-'Previous day'!S24</f>
        <v>#REF!</v>
      </c>
      <c r="T24" s="41" t="e">
        <f>#REF!-'Previous day'!T24</f>
        <v>#REF!</v>
      </c>
      <c r="U24" s="41" t="e">
        <f>#REF!-'Previous day'!U24</f>
        <v>#REF!</v>
      </c>
      <c r="V24" s="41" t="e">
        <f>#REF!-'Previous day'!V24</f>
        <v>#REF!</v>
      </c>
      <c r="W24" s="41" t="e">
        <f>#REF!-'Previous day'!W24</f>
        <v>#REF!</v>
      </c>
      <c r="X24" s="7" t="e">
        <f>#REF!-'Previous day'!X24</f>
        <v>#REF!</v>
      </c>
      <c r="Y24" s="7" t="e">
        <f>#REF!-'Previous day'!Y24</f>
        <v>#REF!</v>
      </c>
      <c r="Z24" s="10" t="e">
        <f>#REF!-'Previous day'!Z24</f>
        <v>#REF!</v>
      </c>
      <c r="AA24" s="7" t="e">
        <f>#REF!-'Previous day'!AA24</f>
        <v>#REF!</v>
      </c>
      <c r="AB24" s="7" t="e">
        <f>#REF!-'Previous day'!AB24</f>
        <v>#REF!</v>
      </c>
      <c r="AC24" s="5"/>
    </row>
    <row r="25" spans="2:29" x14ac:dyDescent="0.25">
      <c r="B25" s="8">
        <f t="shared" si="2"/>
        <v>44456</v>
      </c>
      <c r="C25" s="17" t="str">
        <f t="shared" si="0"/>
        <v>Fri</v>
      </c>
      <c r="D25" s="6" t="e">
        <f>#REF!-'Previous day'!D25</f>
        <v>#REF!</v>
      </c>
      <c r="E25" s="17"/>
      <c r="F25" s="57" t="e">
        <f t="shared" si="1"/>
        <v>#REF!</v>
      </c>
      <c r="G25" s="6" t="e">
        <f>#REF!-'Previous day'!G25</f>
        <v>#REF!</v>
      </c>
      <c r="H25" s="17"/>
      <c r="I25" s="17"/>
      <c r="J25" s="58" t="e">
        <f>#REF!-'Previous day'!J25</f>
        <v>#REF!</v>
      </c>
      <c r="K25" s="59" t="e">
        <f>#REF!-'Previous day'!K25</f>
        <v>#REF!</v>
      </c>
      <c r="L25" s="5"/>
      <c r="M25" s="5"/>
      <c r="N25" s="59" t="e">
        <f>#REF!-'Previous day'!N25</f>
        <v>#REF!</v>
      </c>
      <c r="O25" s="5" t="e">
        <f>#REF!-'Previous day'!O25</f>
        <v>#REF!</v>
      </c>
      <c r="P25" s="5" t="e">
        <f>#REF!-'Previous day'!P25</f>
        <v>#REF!</v>
      </c>
      <c r="Q25" s="41" t="e">
        <f>#REF!-'Previous day'!Q25</f>
        <v>#REF!</v>
      </c>
      <c r="R25" s="41" t="e">
        <f>#REF!-'Previous day'!R25</f>
        <v>#REF!</v>
      </c>
      <c r="S25" s="41" t="e">
        <f>#REF!-'Previous day'!S25</f>
        <v>#REF!</v>
      </c>
      <c r="T25" s="41" t="e">
        <f>#REF!-'Previous day'!T25</f>
        <v>#REF!</v>
      </c>
      <c r="U25" s="41" t="e">
        <f>#REF!-'Previous day'!U25</f>
        <v>#REF!</v>
      </c>
      <c r="V25" s="41" t="e">
        <f>#REF!-'Previous day'!V25</f>
        <v>#REF!</v>
      </c>
      <c r="W25" s="41" t="e">
        <f>#REF!-'Previous day'!W25</f>
        <v>#REF!</v>
      </c>
      <c r="X25" s="7" t="e">
        <f>#REF!-'Previous day'!X25</f>
        <v>#REF!</v>
      </c>
      <c r="Y25" s="7" t="e">
        <f>#REF!-'Previous day'!Y25</f>
        <v>#REF!</v>
      </c>
      <c r="Z25" s="10" t="e">
        <f>#REF!-'Previous day'!Z25</f>
        <v>#REF!</v>
      </c>
      <c r="AA25" s="7" t="e">
        <f>#REF!-'Previous day'!AA25</f>
        <v>#REF!</v>
      </c>
      <c r="AB25" s="7" t="e">
        <f>#REF!-'Previous day'!AB25</f>
        <v>#REF!</v>
      </c>
      <c r="AC25" s="5"/>
    </row>
    <row r="26" spans="2:29" x14ac:dyDescent="0.25">
      <c r="B26" s="8">
        <f t="shared" si="2"/>
        <v>44457</v>
      </c>
      <c r="C26" s="17" t="str">
        <f t="shared" si="0"/>
        <v>Sat</v>
      </c>
      <c r="D26" s="6" t="e">
        <f>#REF!-'Previous day'!D26</f>
        <v>#REF!</v>
      </c>
      <c r="E26" s="17"/>
      <c r="F26" s="57" t="e">
        <f t="shared" si="1"/>
        <v>#REF!</v>
      </c>
      <c r="G26" s="6" t="e">
        <f>#REF!-'Previous day'!G26</f>
        <v>#REF!</v>
      </c>
      <c r="H26" s="17"/>
      <c r="I26" s="17"/>
      <c r="J26" s="58" t="e">
        <f>#REF!-'Previous day'!J26</f>
        <v>#REF!</v>
      </c>
      <c r="K26" s="59" t="e">
        <f>#REF!-'Previous day'!K26</f>
        <v>#REF!</v>
      </c>
      <c r="L26" s="5"/>
      <c r="M26" s="5"/>
      <c r="N26" s="59" t="e">
        <f>#REF!-'Previous day'!N26</f>
        <v>#REF!</v>
      </c>
      <c r="O26" s="5" t="e">
        <f>#REF!-'Previous day'!O26</f>
        <v>#REF!</v>
      </c>
      <c r="P26" s="5" t="e">
        <f>#REF!-'Previous day'!P26</f>
        <v>#REF!</v>
      </c>
      <c r="Q26" s="41" t="e">
        <f>#REF!-'Previous day'!Q26</f>
        <v>#REF!</v>
      </c>
      <c r="R26" s="41" t="e">
        <f>#REF!-'Previous day'!R26</f>
        <v>#REF!</v>
      </c>
      <c r="S26" s="41" t="e">
        <f>#REF!-'Previous day'!S26</f>
        <v>#REF!</v>
      </c>
      <c r="T26" s="41" t="e">
        <f>#REF!-'Previous day'!T26</f>
        <v>#REF!</v>
      </c>
      <c r="U26" s="41" t="e">
        <f>#REF!-'Previous day'!U26</f>
        <v>#REF!</v>
      </c>
      <c r="V26" s="41" t="e">
        <f>#REF!-'Previous day'!V26</f>
        <v>#REF!</v>
      </c>
      <c r="W26" s="41" t="e">
        <f>#REF!-'Previous day'!W26</f>
        <v>#REF!</v>
      </c>
      <c r="X26" s="7" t="e">
        <f>#REF!-'Previous day'!X26</f>
        <v>#REF!</v>
      </c>
      <c r="Y26" s="7" t="e">
        <f>#REF!-'Previous day'!Y26</f>
        <v>#REF!</v>
      </c>
      <c r="Z26" s="10" t="e">
        <f>#REF!-'Previous day'!Z26</f>
        <v>#REF!</v>
      </c>
      <c r="AA26" s="7" t="e">
        <f>#REF!-'Previous day'!AA26</f>
        <v>#REF!</v>
      </c>
      <c r="AB26" s="7" t="e">
        <f>#REF!-'Previous day'!AB26</f>
        <v>#REF!</v>
      </c>
      <c r="AC26" s="5"/>
    </row>
    <row r="27" spans="2:29" x14ac:dyDescent="0.25">
      <c r="B27" s="8">
        <f t="shared" si="2"/>
        <v>44458</v>
      </c>
      <c r="C27" s="17" t="str">
        <f t="shared" si="0"/>
        <v>Sun</v>
      </c>
      <c r="D27" s="6" t="e">
        <f>#REF!-'Previous day'!D27</f>
        <v>#REF!</v>
      </c>
      <c r="E27" s="17"/>
      <c r="F27" s="57" t="e">
        <f t="shared" si="1"/>
        <v>#REF!</v>
      </c>
      <c r="G27" s="6" t="e">
        <f>#REF!-'Previous day'!G27</f>
        <v>#REF!</v>
      </c>
      <c r="H27" s="17"/>
      <c r="I27" s="17"/>
      <c r="J27" s="58" t="e">
        <f>#REF!-'Previous day'!J27</f>
        <v>#REF!</v>
      </c>
      <c r="K27" s="59" t="e">
        <f>#REF!-'Previous day'!K27</f>
        <v>#REF!</v>
      </c>
      <c r="L27" s="5"/>
      <c r="M27" s="5"/>
      <c r="N27" s="59" t="e">
        <f>#REF!-'Previous day'!N27</f>
        <v>#REF!</v>
      </c>
      <c r="O27" s="5" t="e">
        <f>#REF!-'Previous day'!O27</f>
        <v>#REF!</v>
      </c>
      <c r="P27" s="5" t="e">
        <f>#REF!-'Previous day'!P27</f>
        <v>#REF!</v>
      </c>
      <c r="Q27" s="41" t="e">
        <f>#REF!-'Previous day'!Q27</f>
        <v>#REF!</v>
      </c>
      <c r="R27" s="41" t="e">
        <f>#REF!-'Previous day'!R27</f>
        <v>#REF!</v>
      </c>
      <c r="S27" s="41" t="e">
        <f>#REF!-'Previous day'!S27</f>
        <v>#REF!</v>
      </c>
      <c r="T27" s="41" t="e">
        <f>#REF!-'Previous day'!T27</f>
        <v>#REF!</v>
      </c>
      <c r="U27" s="41" t="e">
        <f>#REF!-'Previous day'!U27</f>
        <v>#REF!</v>
      </c>
      <c r="V27" s="41" t="e">
        <f>#REF!-'Previous day'!V27</f>
        <v>#REF!</v>
      </c>
      <c r="W27" s="41" t="e">
        <f>#REF!-'Previous day'!W27</f>
        <v>#REF!</v>
      </c>
      <c r="X27" s="7" t="e">
        <f>#REF!-'Previous day'!X27</f>
        <v>#REF!</v>
      </c>
      <c r="Y27" s="7" t="e">
        <f>#REF!-'Previous day'!Y27</f>
        <v>#REF!</v>
      </c>
      <c r="Z27" s="10" t="e">
        <f>#REF!-'Previous day'!Z27</f>
        <v>#REF!</v>
      </c>
      <c r="AA27" s="7" t="e">
        <f>#REF!-'Previous day'!AA27</f>
        <v>#REF!</v>
      </c>
      <c r="AB27" s="7" t="e">
        <f>#REF!-'Previous day'!AB27</f>
        <v>#REF!</v>
      </c>
      <c r="AC27" s="5"/>
    </row>
    <row r="28" spans="2:29" x14ac:dyDescent="0.25">
      <c r="B28" s="8">
        <f t="shared" si="2"/>
        <v>44459</v>
      </c>
      <c r="C28" s="17" t="str">
        <f t="shared" si="0"/>
        <v>Mon</v>
      </c>
      <c r="D28" s="6" t="e">
        <f>#REF!-'Previous day'!D28</f>
        <v>#REF!</v>
      </c>
      <c r="E28" s="17"/>
      <c r="F28" s="57" t="e">
        <f t="shared" si="1"/>
        <v>#REF!</v>
      </c>
      <c r="G28" s="6" t="e">
        <f>#REF!-'Previous day'!G28</f>
        <v>#REF!</v>
      </c>
      <c r="H28" s="17"/>
      <c r="I28" s="17"/>
      <c r="J28" s="58" t="e">
        <f>#REF!-'Previous day'!J28</f>
        <v>#REF!</v>
      </c>
      <c r="K28" s="59" t="e">
        <f>#REF!-'Previous day'!K28</f>
        <v>#REF!</v>
      </c>
      <c r="L28" s="62">
        <v>0.75416666666666676</v>
      </c>
      <c r="M28" s="62">
        <v>0.75694444444444453</v>
      </c>
      <c r="N28" s="59" t="e">
        <f>#REF!-'Previous day'!N28</f>
        <v>#REF!</v>
      </c>
      <c r="O28" s="5" t="e">
        <f>#REF!-'Previous day'!O28</f>
        <v>#REF!</v>
      </c>
      <c r="P28" s="5" t="e">
        <f>#REF!-'Previous day'!P28</f>
        <v>#REF!</v>
      </c>
      <c r="Q28" s="41" t="e">
        <f>#REF!-'Previous day'!Q28</f>
        <v>#REF!</v>
      </c>
      <c r="R28" s="41" t="e">
        <f>#REF!-'Previous day'!R28</f>
        <v>#REF!</v>
      </c>
      <c r="S28" s="41" t="e">
        <f>#REF!-'Previous day'!S28</f>
        <v>#REF!</v>
      </c>
      <c r="T28" s="41" t="e">
        <f>#REF!-'Previous day'!T28</f>
        <v>#REF!</v>
      </c>
      <c r="U28" s="41" t="e">
        <f>#REF!-'Previous day'!U28</f>
        <v>#REF!</v>
      </c>
      <c r="V28" s="41" t="e">
        <f>#REF!-'Previous day'!V28</f>
        <v>#REF!</v>
      </c>
      <c r="W28" s="41" t="e">
        <f>#REF!-'Previous day'!W28</f>
        <v>#REF!</v>
      </c>
      <c r="X28" s="7" t="e">
        <f>#REF!-'Previous day'!X28</f>
        <v>#REF!</v>
      </c>
      <c r="Y28" s="7" t="e">
        <f>#REF!-'Previous day'!Y28</f>
        <v>#REF!</v>
      </c>
      <c r="Z28" s="10" t="e">
        <f>#REF!-'Previous day'!Z28</f>
        <v>#REF!</v>
      </c>
      <c r="AA28" s="7" t="e">
        <f>#REF!-'Previous day'!AA28</f>
        <v>#REF!</v>
      </c>
      <c r="AB28" s="7" t="e">
        <f>#REF!-'Previous day'!AB28</f>
        <v>#REF!</v>
      </c>
      <c r="AC28" s="5"/>
    </row>
    <row r="29" spans="2:29" x14ac:dyDescent="0.25">
      <c r="B29" s="8">
        <f t="shared" si="2"/>
        <v>44460</v>
      </c>
      <c r="C29" s="17" t="str">
        <f t="shared" si="0"/>
        <v>Tue</v>
      </c>
      <c r="D29" s="6" t="e">
        <f>#REF!-'Previous day'!D29</f>
        <v>#REF!</v>
      </c>
      <c r="E29" s="17"/>
      <c r="F29" s="57" t="e">
        <f t="shared" si="1"/>
        <v>#REF!</v>
      </c>
      <c r="G29" s="6" t="e">
        <f>#REF!-'Previous day'!G29</f>
        <v>#REF!</v>
      </c>
      <c r="H29" s="17"/>
      <c r="I29" s="17"/>
      <c r="J29" s="58" t="e">
        <f>#REF!-'Previous day'!J29</f>
        <v>#REF!</v>
      </c>
      <c r="K29" s="59" t="e">
        <f>#REF!-'Previous day'!K29</f>
        <v>#REF!</v>
      </c>
      <c r="L29" s="5"/>
      <c r="M29" s="5"/>
      <c r="N29" s="59" t="e">
        <f>#REF!-'Previous day'!N29</f>
        <v>#REF!</v>
      </c>
      <c r="O29" s="5" t="e">
        <f>#REF!-'Previous day'!O29</f>
        <v>#REF!</v>
      </c>
      <c r="P29" s="5" t="e">
        <f>#REF!-'Previous day'!P29</f>
        <v>#REF!</v>
      </c>
      <c r="Q29" s="41" t="e">
        <f>#REF!-'Previous day'!Q29</f>
        <v>#REF!</v>
      </c>
      <c r="R29" s="41" t="e">
        <f>#REF!-'Previous day'!R29</f>
        <v>#REF!</v>
      </c>
      <c r="S29" s="41" t="e">
        <f>#REF!-'Previous day'!S29</f>
        <v>#REF!</v>
      </c>
      <c r="T29" s="41" t="e">
        <f>#REF!-'Previous day'!T29</f>
        <v>#REF!</v>
      </c>
      <c r="U29" s="41" t="e">
        <f>#REF!-'Previous day'!U29</f>
        <v>#REF!</v>
      </c>
      <c r="V29" s="41" t="e">
        <f>#REF!-'Previous day'!V29</f>
        <v>#REF!</v>
      </c>
      <c r="W29" s="41" t="e">
        <f>#REF!-'Previous day'!W29</f>
        <v>#REF!</v>
      </c>
      <c r="X29" s="7" t="e">
        <f>#REF!-'Previous day'!X29</f>
        <v>#REF!</v>
      </c>
      <c r="Y29" s="7" t="e">
        <f>#REF!-'Previous day'!Y29</f>
        <v>#REF!</v>
      </c>
      <c r="Z29" s="10" t="e">
        <f>#REF!-'Previous day'!Z29</f>
        <v>#REF!</v>
      </c>
      <c r="AA29" s="7" t="e">
        <f>#REF!-'Previous day'!AA29</f>
        <v>#REF!</v>
      </c>
      <c r="AB29" s="7" t="e">
        <f>#REF!-'Previous day'!AB29</f>
        <v>#REF!</v>
      </c>
      <c r="AC29" s="5"/>
    </row>
    <row r="30" spans="2:29" x14ac:dyDescent="0.25">
      <c r="B30" s="8">
        <f t="shared" si="2"/>
        <v>44461</v>
      </c>
      <c r="C30" s="17" t="str">
        <f t="shared" si="0"/>
        <v>Wed</v>
      </c>
      <c r="D30" s="6" t="e">
        <f>#REF!-'Previous day'!D30</f>
        <v>#REF!</v>
      </c>
      <c r="E30" s="17"/>
      <c r="F30" s="57" t="e">
        <f t="shared" si="1"/>
        <v>#REF!</v>
      </c>
      <c r="G30" s="6" t="e">
        <f>#REF!-'Previous day'!G30</f>
        <v>#REF!</v>
      </c>
      <c r="H30" s="17"/>
      <c r="I30" s="17"/>
      <c r="J30" s="58" t="e">
        <f>#REF!-'Previous day'!J30</f>
        <v>#REF!</v>
      </c>
      <c r="K30" s="59" t="e">
        <f>#REF!-'Previous day'!K30</f>
        <v>#REF!</v>
      </c>
      <c r="L30" s="5"/>
      <c r="M30" s="5"/>
      <c r="N30" s="59" t="e">
        <f>#REF!-'Previous day'!N30</f>
        <v>#REF!</v>
      </c>
      <c r="O30" s="5" t="e">
        <f>#REF!-'Previous day'!O30</f>
        <v>#REF!</v>
      </c>
      <c r="P30" s="5" t="e">
        <f>#REF!-'Previous day'!P30</f>
        <v>#REF!</v>
      </c>
      <c r="Q30" s="41" t="e">
        <f>#REF!-'Previous day'!Q30</f>
        <v>#REF!</v>
      </c>
      <c r="R30" s="41" t="e">
        <f>#REF!-'Previous day'!R30</f>
        <v>#REF!</v>
      </c>
      <c r="S30" s="41" t="e">
        <f>#REF!-'Previous day'!S30</f>
        <v>#REF!</v>
      </c>
      <c r="T30" s="41" t="e">
        <f>#REF!-'Previous day'!T30</f>
        <v>#REF!</v>
      </c>
      <c r="U30" s="41" t="e">
        <f>#REF!-'Previous day'!U30</f>
        <v>#REF!</v>
      </c>
      <c r="V30" s="41" t="e">
        <f>#REF!-'Previous day'!V30</f>
        <v>#REF!</v>
      </c>
      <c r="W30" s="41" t="e">
        <f>#REF!-'Previous day'!W30</f>
        <v>#REF!</v>
      </c>
      <c r="X30" s="7" t="e">
        <f>#REF!-'Previous day'!X30</f>
        <v>#REF!</v>
      </c>
      <c r="Y30" s="7" t="e">
        <f>#REF!-'Previous day'!Y30</f>
        <v>#REF!</v>
      </c>
      <c r="Z30" s="10" t="e">
        <f>#REF!-'Previous day'!Z30</f>
        <v>#REF!</v>
      </c>
      <c r="AA30" s="7" t="e">
        <f>#REF!-'Previous day'!AA30</f>
        <v>#REF!</v>
      </c>
      <c r="AB30" s="7" t="e">
        <f>#REF!-'Previous day'!AB30</f>
        <v>#REF!</v>
      </c>
      <c r="AC30" s="5"/>
    </row>
    <row r="31" spans="2:29" x14ac:dyDescent="0.25">
      <c r="B31" s="8">
        <f t="shared" si="2"/>
        <v>44462</v>
      </c>
      <c r="C31" s="17" t="str">
        <f t="shared" si="0"/>
        <v>Thu</v>
      </c>
      <c r="D31" s="6" t="e">
        <f>#REF!-'Previous day'!D31</f>
        <v>#REF!</v>
      </c>
      <c r="E31" s="17"/>
      <c r="F31" s="57" t="e">
        <f t="shared" si="1"/>
        <v>#REF!</v>
      </c>
      <c r="G31" s="6" t="e">
        <f>#REF!-'Previous day'!G31</f>
        <v>#REF!</v>
      </c>
      <c r="H31" s="17"/>
      <c r="I31" s="17"/>
      <c r="J31" s="58" t="e">
        <f>#REF!-'Previous day'!J31</f>
        <v>#REF!</v>
      </c>
      <c r="K31" s="59" t="e">
        <f>#REF!-'Previous day'!K31</f>
        <v>#REF!</v>
      </c>
      <c r="L31" s="5"/>
      <c r="M31" s="5"/>
      <c r="N31" s="59" t="e">
        <f>#REF!-'Previous day'!N31</f>
        <v>#REF!</v>
      </c>
      <c r="O31" s="5" t="e">
        <f>#REF!-'Previous day'!O31</f>
        <v>#REF!</v>
      </c>
      <c r="P31" s="5" t="e">
        <f>#REF!-'Previous day'!P31</f>
        <v>#REF!</v>
      </c>
      <c r="Q31" s="41" t="e">
        <f>#REF!-'Previous day'!Q31</f>
        <v>#REF!</v>
      </c>
      <c r="R31" s="41" t="e">
        <f>#REF!-'Previous day'!R31</f>
        <v>#REF!</v>
      </c>
      <c r="S31" s="41" t="e">
        <f>#REF!-'Previous day'!S31</f>
        <v>#REF!</v>
      </c>
      <c r="T31" s="41" t="e">
        <f>#REF!-'Previous day'!T31</f>
        <v>#REF!</v>
      </c>
      <c r="U31" s="41" t="e">
        <f>#REF!-'Previous day'!U31</f>
        <v>#REF!</v>
      </c>
      <c r="V31" s="41" t="e">
        <f>#REF!-'Previous day'!V31</f>
        <v>#REF!</v>
      </c>
      <c r="W31" s="41" t="e">
        <f>#REF!-'Previous day'!W31</f>
        <v>#REF!</v>
      </c>
      <c r="X31" s="7" t="e">
        <f>#REF!-'Previous day'!X31</f>
        <v>#REF!</v>
      </c>
      <c r="Y31" s="7" t="e">
        <f>#REF!-'Previous day'!Y31</f>
        <v>#REF!</v>
      </c>
      <c r="Z31" s="10" t="e">
        <f>#REF!-'Previous day'!Z31</f>
        <v>#REF!</v>
      </c>
      <c r="AA31" s="7" t="e">
        <f>#REF!-'Previous day'!AA31</f>
        <v>#REF!</v>
      </c>
      <c r="AB31" s="7" t="e">
        <f>#REF!-'Previous day'!AB31</f>
        <v>#REF!</v>
      </c>
      <c r="AC31" s="5"/>
    </row>
    <row r="32" spans="2:29" x14ac:dyDescent="0.25">
      <c r="B32" s="8">
        <f t="shared" si="2"/>
        <v>44463</v>
      </c>
      <c r="C32" s="17" t="str">
        <f t="shared" si="0"/>
        <v>Fri</v>
      </c>
      <c r="D32" s="6" t="e">
        <f>#REF!-'Previous day'!D32</f>
        <v>#REF!</v>
      </c>
      <c r="E32" s="17"/>
      <c r="F32" s="57" t="e">
        <f t="shared" si="1"/>
        <v>#REF!</v>
      </c>
      <c r="G32" s="6" t="e">
        <f>#REF!-'Previous day'!G32</f>
        <v>#REF!</v>
      </c>
      <c r="H32" s="17"/>
      <c r="I32" s="17"/>
      <c r="J32" s="58" t="e">
        <f>#REF!-'Previous day'!J32</f>
        <v>#REF!</v>
      </c>
      <c r="K32" s="59" t="e">
        <f>#REF!-'Previous day'!K32</f>
        <v>#REF!</v>
      </c>
      <c r="L32" s="5"/>
      <c r="M32" s="5"/>
      <c r="N32" s="59" t="e">
        <f>#REF!-'Previous day'!N32</f>
        <v>#REF!</v>
      </c>
      <c r="O32" s="5" t="e">
        <f>#REF!-'Previous day'!O32</f>
        <v>#REF!</v>
      </c>
      <c r="P32" s="5" t="e">
        <f>#REF!-'Previous day'!P32</f>
        <v>#REF!</v>
      </c>
      <c r="Q32" s="41" t="e">
        <f>#REF!-'Previous day'!Q32</f>
        <v>#REF!</v>
      </c>
      <c r="R32" s="41" t="e">
        <f>#REF!-'Previous day'!R32</f>
        <v>#REF!</v>
      </c>
      <c r="S32" s="41" t="e">
        <f>#REF!-'Previous day'!S32</f>
        <v>#REF!</v>
      </c>
      <c r="T32" s="41" t="e">
        <f>#REF!-'Previous day'!T32</f>
        <v>#REF!</v>
      </c>
      <c r="U32" s="41" t="e">
        <f>#REF!-'Previous day'!U32</f>
        <v>#REF!</v>
      </c>
      <c r="V32" s="41" t="e">
        <f>#REF!-'Previous day'!V32</f>
        <v>#REF!</v>
      </c>
      <c r="W32" s="41" t="e">
        <f>#REF!-'Previous day'!W32</f>
        <v>#REF!</v>
      </c>
      <c r="X32" s="7" t="e">
        <f>#REF!-'Previous day'!X32</f>
        <v>#REF!</v>
      </c>
      <c r="Y32" s="7" t="e">
        <f>#REF!-'Previous day'!Y32</f>
        <v>#REF!</v>
      </c>
      <c r="Z32" s="10" t="e">
        <f>#REF!-'Previous day'!Z32</f>
        <v>#REF!</v>
      </c>
      <c r="AA32" s="7" t="e">
        <f>#REF!-'Previous day'!AA32</f>
        <v>#REF!</v>
      </c>
      <c r="AB32" s="7" t="e">
        <f>#REF!-'Previous day'!AB32</f>
        <v>#REF!</v>
      </c>
      <c r="AC32" s="5"/>
    </row>
    <row r="33" spans="2:29" x14ac:dyDescent="0.25">
      <c r="B33" s="8">
        <f t="shared" si="2"/>
        <v>44464</v>
      </c>
      <c r="C33" s="17" t="str">
        <f t="shared" si="0"/>
        <v>Sat</v>
      </c>
      <c r="D33" s="6" t="e">
        <f>#REF!-'Previous day'!D33</f>
        <v>#REF!</v>
      </c>
      <c r="E33" s="17"/>
      <c r="F33" s="57" t="e">
        <f t="shared" si="1"/>
        <v>#REF!</v>
      </c>
      <c r="G33" s="6" t="e">
        <f>#REF!-'Previous day'!G33</f>
        <v>#REF!</v>
      </c>
      <c r="H33" s="17"/>
      <c r="I33" s="17"/>
      <c r="J33" s="58" t="e">
        <f>#REF!-'Previous day'!J33</f>
        <v>#REF!</v>
      </c>
      <c r="K33" s="59" t="e">
        <f>#REF!-'Previous day'!K33</f>
        <v>#REF!</v>
      </c>
      <c r="L33" s="5"/>
      <c r="M33" s="5"/>
      <c r="N33" s="59" t="e">
        <f>#REF!-'Previous day'!N33</f>
        <v>#REF!</v>
      </c>
      <c r="O33" s="5" t="e">
        <f>#REF!-'Previous day'!O33</f>
        <v>#REF!</v>
      </c>
      <c r="P33" s="5" t="e">
        <f>#REF!-'Previous day'!P33</f>
        <v>#REF!</v>
      </c>
      <c r="Q33" s="41" t="e">
        <f>#REF!-'Previous day'!Q33</f>
        <v>#REF!</v>
      </c>
      <c r="R33" s="41" t="e">
        <f>#REF!-'Previous day'!R33</f>
        <v>#REF!</v>
      </c>
      <c r="S33" s="41" t="e">
        <f>#REF!-'Previous day'!S33</f>
        <v>#REF!</v>
      </c>
      <c r="T33" s="41" t="e">
        <f>#REF!-'Previous day'!T33</f>
        <v>#REF!</v>
      </c>
      <c r="U33" s="41" t="e">
        <f>#REF!-'Previous day'!U33</f>
        <v>#REF!</v>
      </c>
      <c r="V33" s="41" t="e">
        <f>#REF!-'Previous day'!V33</f>
        <v>#REF!</v>
      </c>
      <c r="W33" s="41" t="e">
        <f>#REF!-'Previous day'!W33</f>
        <v>#REF!</v>
      </c>
      <c r="X33" s="7" t="e">
        <f>#REF!-'Previous day'!X33</f>
        <v>#REF!</v>
      </c>
      <c r="Y33" s="7" t="e">
        <f>#REF!-'Previous day'!Y33</f>
        <v>#REF!</v>
      </c>
      <c r="Z33" s="10" t="e">
        <f>#REF!-'Previous day'!Z33</f>
        <v>#REF!</v>
      </c>
      <c r="AA33" s="7" t="e">
        <f>#REF!-'Previous day'!AA33</f>
        <v>#REF!</v>
      </c>
      <c r="AB33" s="7" t="e">
        <f>#REF!-'Previous day'!AB33</f>
        <v>#REF!</v>
      </c>
      <c r="AC33" s="5"/>
    </row>
    <row r="34" spans="2:29" x14ac:dyDescent="0.25">
      <c r="B34" s="8">
        <f t="shared" si="2"/>
        <v>44465</v>
      </c>
      <c r="C34" s="17" t="str">
        <f t="shared" si="0"/>
        <v>Sun</v>
      </c>
      <c r="D34" s="6" t="e">
        <f>#REF!-'Previous day'!D34</f>
        <v>#REF!</v>
      </c>
      <c r="E34" s="17"/>
      <c r="F34" s="57" t="e">
        <f t="shared" si="1"/>
        <v>#REF!</v>
      </c>
      <c r="G34" s="6" t="e">
        <f>#REF!-'Previous day'!G34</f>
        <v>#REF!</v>
      </c>
      <c r="H34" s="17"/>
      <c r="I34" s="17"/>
      <c r="J34" s="58" t="e">
        <f>#REF!-'Previous day'!J34</f>
        <v>#REF!</v>
      </c>
      <c r="K34" s="59" t="e">
        <f>#REF!-'Previous day'!K34</f>
        <v>#REF!</v>
      </c>
      <c r="L34" s="5"/>
      <c r="M34" s="5"/>
      <c r="N34" s="59" t="e">
        <f>#REF!-'Previous day'!N34</f>
        <v>#REF!</v>
      </c>
      <c r="O34" s="5" t="e">
        <f>#REF!-'Previous day'!O34</f>
        <v>#REF!</v>
      </c>
      <c r="P34" s="5" t="e">
        <f>#REF!-'Previous day'!P34</f>
        <v>#REF!</v>
      </c>
      <c r="Q34" s="41" t="e">
        <f>#REF!-'Previous day'!Q34</f>
        <v>#REF!</v>
      </c>
      <c r="R34" s="41" t="e">
        <f>#REF!-'Previous day'!R34</f>
        <v>#REF!</v>
      </c>
      <c r="S34" s="41" t="e">
        <f>#REF!-'Previous day'!S34</f>
        <v>#REF!</v>
      </c>
      <c r="T34" s="41" t="e">
        <f>#REF!-'Previous day'!T34</f>
        <v>#REF!</v>
      </c>
      <c r="U34" s="41" t="e">
        <f>#REF!-'Previous day'!U34</f>
        <v>#REF!</v>
      </c>
      <c r="V34" s="41" t="e">
        <f>#REF!-'Previous day'!V34</f>
        <v>#REF!</v>
      </c>
      <c r="W34" s="41" t="e">
        <f>#REF!-'Previous day'!W34</f>
        <v>#REF!</v>
      </c>
      <c r="X34" s="7" t="e">
        <f>#REF!-'Previous day'!X34</f>
        <v>#REF!</v>
      </c>
      <c r="Y34" s="7" t="e">
        <f>#REF!-'Previous day'!Y34</f>
        <v>#REF!</v>
      </c>
      <c r="Z34" s="10" t="e">
        <f>#REF!-'Previous day'!Z34</f>
        <v>#REF!</v>
      </c>
      <c r="AA34" s="7" t="e">
        <f>#REF!-'Previous day'!AA34</f>
        <v>#REF!</v>
      </c>
      <c r="AB34" s="7" t="e">
        <f>#REF!-'Previous day'!AB34</f>
        <v>#REF!</v>
      </c>
      <c r="AC34" s="5"/>
    </row>
    <row r="35" spans="2:29" x14ac:dyDescent="0.25">
      <c r="B35" s="8">
        <f t="shared" si="2"/>
        <v>44466</v>
      </c>
      <c r="C35" s="17" t="str">
        <f t="shared" si="0"/>
        <v>Mon</v>
      </c>
      <c r="D35" s="6" t="e">
        <f>#REF!-'Previous day'!D35</f>
        <v>#REF!</v>
      </c>
      <c r="E35" s="17"/>
      <c r="F35" s="57" t="e">
        <f t="shared" si="1"/>
        <v>#REF!</v>
      </c>
      <c r="G35" s="6" t="e">
        <f>#REF!-'Previous day'!G35</f>
        <v>#REF!</v>
      </c>
      <c r="H35" s="17"/>
      <c r="I35" s="17"/>
      <c r="J35" s="58" t="e">
        <f>#REF!-'Previous day'!J35</f>
        <v>#REF!</v>
      </c>
      <c r="K35" s="59" t="e">
        <f>#REF!-'Previous day'!K35</f>
        <v>#REF!</v>
      </c>
      <c r="L35" s="5"/>
      <c r="M35" s="5"/>
      <c r="N35" s="59" t="e">
        <f>#REF!-'Previous day'!N35</f>
        <v>#REF!</v>
      </c>
      <c r="O35" s="5" t="e">
        <f>#REF!-'Previous day'!O35</f>
        <v>#REF!</v>
      </c>
      <c r="P35" s="5" t="e">
        <f>#REF!-'Previous day'!P35</f>
        <v>#REF!</v>
      </c>
      <c r="Q35" s="41" t="e">
        <f>#REF!-'Previous day'!Q35</f>
        <v>#REF!</v>
      </c>
      <c r="R35" s="41" t="e">
        <f>#REF!-'Previous day'!R35</f>
        <v>#REF!</v>
      </c>
      <c r="S35" s="41" t="e">
        <f>#REF!-'Previous day'!S35</f>
        <v>#REF!</v>
      </c>
      <c r="T35" s="41" t="e">
        <f>#REF!-'Previous day'!T35</f>
        <v>#REF!</v>
      </c>
      <c r="U35" s="41" t="e">
        <f>#REF!-'Previous day'!U35</f>
        <v>#REF!</v>
      </c>
      <c r="V35" s="41" t="e">
        <f>#REF!-'Previous day'!V35</f>
        <v>#REF!</v>
      </c>
      <c r="W35" s="41" t="e">
        <f>#REF!-'Previous day'!W35</f>
        <v>#REF!</v>
      </c>
      <c r="X35" s="7" t="e">
        <f>#REF!-'Previous day'!X35</f>
        <v>#REF!</v>
      </c>
      <c r="Y35" s="7" t="e">
        <f>#REF!-'Previous day'!Y35</f>
        <v>#REF!</v>
      </c>
      <c r="Z35" s="10" t="e">
        <f>#REF!-'Previous day'!Z35</f>
        <v>#REF!</v>
      </c>
      <c r="AA35" s="7" t="e">
        <f>#REF!-'Previous day'!AA35</f>
        <v>#REF!</v>
      </c>
      <c r="AB35" s="7" t="e">
        <f>#REF!-'Previous day'!AB35</f>
        <v>#REF!</v>
      </c>
      <c r="AC35" s="5"/>
    </row>
    <row r="36" spans="2:29" x14ac:dyDescent="0.25">
      <c r="B36" s="8">
        <f t="shared" si="2"/>
        <v>44467</v>
      </c>
      <c r="C36" s="17" t="str">
        <f t="shared" si="0"/>
        <v>Tue</v>
      </c>
      <c r="D36" s="6" t="e">
        <f>#REF!-'Previous day'!D36</f>
        <v>#REF!</v>
      </c>
      <c r="E36" s="17"/>
      <c r="F36" s="57" t="e">
        <f t="shared" si="1"/>
        <v>#REF!</v>
      </c>
      <c r="G36" s="6" t="e">
        <f>#REF!-'Previous day'!G36</f>
        <v>#REF!</v>
      </c>
      <c r="H36" s="17"/>
      <c r="I36" s="17"/>
      <c r="J36" s="58" t="e">
        <f>#REF!-'Previous day'!J36</f>
        <v>#REF!</v>
      </c>
      <c r="K36" s="59" t="e">
        <f>#REF!-'Previous day'!K36</f>
        <v>#REF!</v>
      </c>
      <c r="L36" s="5"/>
      <c r="M36" s="5"/>
      <c r="N36" s="59" t="e">
        <f>#REF!-'Previous day'!N36</f>
        <v>#REF!</v>
      </c>
      <c r="O36" s="5" t="e">
        <f>#REF!-'Previous day'!O36</f>
        <v>#REF!</v>
      </c>
      <c r="P36" s="5" t="e">
        <f>#REF!-'Previous day'!P36</f>
        <v>#REF!</v>
      </c>
      <c r="Q36" s="41" t="e">
        <f>#REF!-'Previous day'!Q36</f>
        <v>#REF!</v>
      </c>
      <c r="R36" s="41" t="e">
        <f>#REF!-'Previous day'!R36</f>
        <v>#REF!</v>
      </c>
      <c r="S36" s="41" t="e">
        <f>#REF!-'Previous day'!S36</f>
        <v>#REF!</v>
      </c>
      <c r="T36" s="41" t="e">
        <f>#REF!-'Previous day'!T36</f>
        <v>#REF!</v>
      </c>
      <c r="U36" s="41" t="e">
        <f>#REF!-'Previous day'!U36</f>
        <v>#REF!</v>
      </c>
      <c r="V36" s="41" t="e">
        <f>#REF!-'Previous day'!V36</f>
        <v>#REF!</v>
      </c>
      <c r="W36" s="41" t="e">
        <f>#REF!-'Previous day'!W36</f>
        <v>#REF!</v>
      </c>
      <c r="X36" s="7" t="e">
        <f>#REF!-'Previous day'!X36</f>
        <v>#REF!</v>
      </c>
      <c r="Y36" s="7" t="e">
        <f>#REF!-'Previous day'!Y36</f>
        <v>#REF!</v>
      </c>
      <c r="Z36" s="10" t="e">
        <f>#REF!-'Previous day'!Z36</f>
        <v>#REF!</v>
      </c>
      <c r="AA36" s="7" t="e">
        <f>#REF!-'Previous day'!AA36</f>
        <v>#REF!</v>
      </c>
      <c r="AB36" s="7" t="e">
        <f>#REF!-'Previous day'!AB36</f>
        <v>#REF!</v>
      </c>
      <c r="AC36" s="5"/>
    </row>
    <row r="37" spans="2:29" x14ac:dyDescent="0.25">
      <c r="B37" s="8">
        <f t="shared" si="2"/>
        <v>44468</v>
      </c>
      <c r="C37" s="17" t="str">
        <f t="shared" si="0"/>
        <v>Wed</v>
      </c>
      <c r="D37" s="6" t="e">
        <f>#REF!-'Previous day'!D37</f>
        <v>#REF!</v>
      </c>
      <c r="E37" s="17"/>
      <c r="F37" s="57" t="e">
        <f t="shared" si="1"/>
        <v>#REF!</v>
      </c>
      <c r="G37" s="6" t="e">
        <f>#REF!-'Previous day'!G37</f>
        <v>#REF!</v>
      </c>
      <c r="H37" s="17"/>
      <c r="I37" s="17"/>
      <c r="J37" s="58" t="e">
        <f>#REF!-'Previous day'!J37</f>
        <v>#REF!</v>
      </c>
      <c r="K37" s="59" t="e">
        <f>#REF!-'Previous day'!K37</f>
        <v>#REF!</v>
      </c>
      <c r="L37" s="5"/>
      <c r="M37" s="5"/>
      <c r="N37" s="59" t="e">
        <f>#REF!-'Previous day'!N37</f>
        <v>#REF!</v>
      </c>
      <c r="O37" s="5" t="e">
        <f>#REF!-'Previous day'!O37</f>
        <v>#REF!</v>
      </c>
      <c r="P37" s="5" t="e">
        <f>#REF!-'Previous day'!P37</f>
        <v>#REF!</v>
      </c>
      <c r="Q37" s="41" t="e">
        <f>#REF!-'Previous day'!Q37</f>
        <v>#REF!</v>
      </c>
      <c r="R37" s="41" t="e">
        <f>#REF!-'Previous day'!R37</f>
        <v>#REF!</v>
      </c>
      <c r="S37" s="41" t="e">
        <f>#REF!-'Previous day'!S37</f>
        <v>#REF!</v>
      </c>
      <c r="T37" s="41" t="e">
        <f>#REF!-'Previous day'!T37</f>
        <v>#REF!</v>
      </c>
      <c r="U37" s="41" t="e">
        <f>#REF!-'Previous day'!U37</f>
        <v>#REF!</v>
      </c>
      <c r="V37" s="41" t="e">
        <f>#REF!-'Previous day'!V37</f>
        <v>#REF!</v>
      </c>
      <c r="W37" s="41" t="e">
        <f>#REF!-'Previous day'!W37</f>
        <v>#REF!</v>
      </c>
      <c r="X37" s="7" t="e">
        <f>#REF!-'Previous day'!X37</f>
        <v>#REF!</v>
      </c>
      <c r="Y37" s="7" t="e">
        <f>#REF!-'Previous day'!Y37</f>
        <v>#REF!</v>
      </c>
      <c r="Z37" s="10" t="e">
        <f>#REF!-'Previous day'!Z37</f>
        <v>#REF!</v>
      </c>
      <c r="AA37" s="7" t="e">
        <f>#REF!-'Previous day'!AA37</f>
        <v>#REF!</v>
      </c>
      <c r="AB37" s="7" t="e">
        <f>#REF!-'Previous day'!AB37</f>
        <v>#REF!</v>
      </c>
      <c r="AC37" s="5"/>
    </row>
    <row r="38" spans="2:29" x14ac:dyDescent="0.25">
      <c r="B38" s="8">
        <f t="shared" si="2"/>
        <v>44469</v>
      </c>
      <c r="C38" s="17" t="str">
        <f t="shared" si="0"/>
        <v>Thu</v>
      </c>
      <c r="D38" s="6" t="e">
        <f>#REF!-'Previous day'!D38</f>
        <v>#REF!</v>
      </c>
      <c r="E38" s="17"/>
      <c r="F38" s="57" t="e">
        <f t="shared" si="1"/>
        <v>#REF!</v>
      </c>
      <c r="G38" s="6" t="e">
        <f>#REF!-'Previous day'!G38</f>
        <v>#REF!</v>
      </c>
      <c r="H38" s="17"/>
      <c r="I38" s="17"/>
      <c r="J38" s="58" t="e">
        <f>#REF!-'Previous day'!J38</f>
        <v>#REF!</v>
      </c>
      <c r="K38" s="59" t="e">
        <f>#REF!-'Previous day'!K38</f>
        <v>#REF!</v>
      </c>
      <c r="L38" s="5"/>
      <c r="M38" s="5"/>
      <c r="N38" s="59" t="e">
        <f>#REF!-'Previous day'!N38</f>
        <v>#REF!</v>
      </c>
      <c r="O38" s="5" t="e">
        <f>#REF!-'Previous day'!O38</f>
        <v>#REF!</v>
      </c>
      <c r="P38" s="5" t="e">
        <f>#REF!-'Previous day'!P38</f>
        <v>#REF!</v>
      </c>
      <c r="Q38" s="41" t="e">
        <f>#REF!-'Previous day'!Q38</f>
        <v>#REF!</v>
      </c>
      <c r="R38" s="41" t="e">
        <f>#REF!-'Previous day'!R38</f>
        <v>#REF!</v>
      </c>
      <c r="S38" s="41" t="e">
        <f>#REF!-'Previous day'!S38</f>
        <v>#REF!</v>
      </c>
      <c r="T38" s="41" t="e">
        <f>#REF!-'Previous day'!T38</f>
        <v>#REF!</v>
      </c>
      <c r="U38" s="41" t="e">
        <f>#REF!-'Previous day'!U38</f>
        <v>#REF!</v>
      </c>
      <c r="V38" s="41" t="e">
        <f>#REF!-'Previous day'!V38</f>
        <v>#REF!</v>
      </c>
      <c r="W38" s="41" t="e">
        <f>#REF!-'Previous day'!W38</f>
        <v>#REF!</v>
      </c>
      <c r="X38" s="7" t="e">
        <f>#REF!-'Previous day'!X38</f>
        <v>#REF!</v>
      </c>
      <c r="Y38" s="7" t="e">
        <f>#REF!-'Previous day'!Y38</f>
        <v>#REF!</v>
      </c>
      <c r="Z38" s="10" t="e">
        <f>#REF!-'Previous day'!Z38</f>
        <v>#REF!</v>
      </c>
      <c r="AA38" s="7" t="e">
        <f>#REF!-'Previous day'!AA38</f>
        <v>#REF!</v>
      </c>
      <c r="AB38" s="7" t="e">
        <f>#REF!-'Previous day'!AB38</f>
        <v>#REF!</v>
      </c>
      <c r="AC38" s="5"/>
    </row>
    <row r="39" spans="2:29" x14ac:dyDescent="0.25">
      <c r="B39" s="14" t="s">
        <v>149</v>
      </c>
      <c r="C39" s="70"/>
      <c r="D39" s="71" t="e">
        <f>#REF!-'Previous day'!D39</f>
        <v>#REF!</v>
      </c>
      <c r="E39" s="70" t="e">
        <f>#REF!-'Previous day'!E39</f>
        <v>#REF!</v>
      </c>
      <c r="F39" s="70" t="e">
        <f>#REF!-'Previous day'!F39</f>
        <v>#REF!</v>
      </c>
      <c r="G39" s="71" t="e">
        <f>#REF!-'Previous day'!G39</f>
        <v>#REF!</v>
      </c>
      <c r="H39" s="70" t="e">
        <f>#REF!-'Previous day'!H39</f>
        <v>#REF!</v>
      </c>
      <c r="I39" s="70" t="e">
        <f>#REF!-'Previous day'!I39</f>
        <v>#REF!</v>
      </c>
      <c r="J39" s="70" t="e">
        <f>#REF!-'Previous day'!J39</f>
        <v>#REF!</v>
      </c>
      <c r="K39" s="70" t="e">
        <f>#REF!-'Previous day'!K39</f>
        <v>#REF!</v>
      </c>
      <c r="L39" s="70" t="e">
        <f>#REF!-'Previous day'!L39</f>
        <v>#REF!</v>
      </c>
      <c r="M39" s="70" t="e">
        <f>#REF!-'Previous day'!M39</f>
        <v>#REF!</v>
      </c>
      <c r="N39" s="70" t="e">
        <f>#REF!-'Previous day'!N39</f>
        <v>#REF!</v>
      </c>
      <c r="O39" s="70" t="e">
        <f>#REF!-'Previous day'!O39</f>
        <v>#REF!</v>
      </c>
      <c r="P39" s="70" t="e">
        <f>#REF!-'Previous day'!P39</f>
        <v>#REF!</v>
      </c>
      <c r="Q39" s="70" t="e">
        <f>#REF!-'Previous day'!Q39</f>
        <v>#REF!</v>
      </c>
      <c r="R39" s="70" t="e">
        <f>#REF!-'Previous day'!R39</f>
        <v>#REF!</v>
      </c>
      <c r="S39" s="70" t="e">
        <f>#REF!-'Previous day'!S39</f>
        <v>#REF!</v>
      </c>
      <c r="T39" s="70" t="e">
        <f>#REF!-'Previous day'!T39</f>
        <v>#REF!</v>
      </c>
      <c r="U39" s="70" t="e">
        <f>#REF!-'Previous day'!U39</f>
        <v>#REF!</v>
      </c>
      <c r="V39" s="70" t="e">
        <f>#REF!-'Previous day'!V39</f>
        <v>#REF!</v>
      </c>
      <c r="W39" s="70" t="e">
        <f>#REF!-'Previous day'!W39</f>
        <v>#REF!</v>
      </c>
      <c r="X39" s="70" t="e">
        <f>#REF!-'Previous day'!X39</f>
        <v>#REF!</v>
      </c>
      <c r="Y39" s="70" t="e">
        <f>#REF!-'Previous day'!Y39</f>
        <v>#REF!</v>
      </c>
      <c r="Z39" s="64" t="e">
        <f>#REF!-'Previous day'!Z39</f>
        <v>#REF!</v>
      </c>
      <c r="AA39" s="70" t="e">
        <f>#REF!-'Previous day'!AA39</f>
        <v>#REF!</v>
      </c>
      <c r="AB39" s="70" t="e">
        <f>#REF!-'Previous day'!AB39</f>
        <v>#REF!</v>
      </c>
      <c r="AC39" s="70" t="e">
        <f>#REF!-'Previous day'!AC39</f>
        <v>#REF!</v>
      </c>
    </row>
  </sheetData>
  <mergeCells count="16">
    <mergeCell ref="B3:W3"/>
    <mergeCell ref="X3:Z4"/>
    <mergeCell ref="AA3:AB4"/>
    <mergeCell ref="AC3:AC6"/>
    <mergeCell ref="B4:B6"/>
    <mergeCell ref="C4:C6"/>
    <mergeCell ref="D4:E4"/>
    <mergeCell ref="H4:K4"/>
    <mergeCell ref="L4:N4"/>
    <mergeCell ref="O4:P5"/>
    <mergeCell ref="X5:Y5"/>
    <mergeCell ref="T4:U4"/>
    <mergeCell ref="V4:W4"/>
    <mergeCell ref="H5:I5"/>
    <mergeCell ref="J5:K5"/>
    <mergeCell ref="L5:M5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B2:AC43"/>
  <sheetViews>
    <sheetView showGridLines="0" zoomScale="70" zoomScaleNormal="70" workbookViewId="0">
      <pane xSplit="3" ySplit="6" topLeftCell="E19" activePane="bottomRight" state="frozen"/>
      <selection pane="topRight" activeCell="D1" sqref="D1"/>
      <selection pane="bottomLeft" activeCell="A7" sqref="A7"/>
      <selection pane="bottomRight" activeCell="H34" sqref="H33:H34"/>
    </sheetView>
  </sheetViews>
  <sheetFormatPr defaultColWidth="9.109375" defaultRowHeight="13.8" x14ac:dyDescent="0.25"/>
  <cols>
    <col min="1" max="1" width="4.5546875" style="1" customWidth="1"/>
    <col min="2" max="2" width="22.5546875" style="2" customWidth="1"/>
    <col min="3" max="3" width="10.44140625" style="2" bestFit="1" customWidth="1"/>
    <col min="4" max="4" width="10.44140625" style="2" customWidth="1"/>
    <col min="5" max="5" width="10" style="2" customWidth="1"/>
    <col min="6" max="6" width="11" style="2" customWidth="1"/>
    <col min="7" max="7" width="11.44140625" style="2" customWidth="1"/>
    <col min="8" max="8" width="11.5546875" style="2" customWidth="1"/>
    <col min="9" max="9" width="11.109375" style="2" customWidth="1"/>
    <col min="10" max="10" width="12.44140625" style="1" customWidth="1"/>
    <col min="11" max="11" width="12.109375" style="1" customWidth="1"/>
    <col min="12" max="12" width="10.44140625" style="1" customWidth="1"/>
    <col min="13" max="13" width="10.88671875" style="1" customWidth="1"/>
    <col min="14" max="14" width="11.44140625" style="1" customWidth="1"/>
    <col min="15" max="15" width="11.5546875" style="1" customWidth="1"/>
    <col min="16" max="17" width="11.109375" style="1" customWidth="1"/>
    <col min="18" max="18" width="13.88671875" style="3" customWidth="1"/>
    <col min="19" max="19" width="13.5546875" style="3" customWidth="1"/>
    <col min="20" max="20" width="11.5546875" style="3" customWidth="1"/>
    <col min="21" max="21" width="11.109375" style="3" customWidth="1"/>
    <col min="22" max="22" width="11" style="3" customWidth="1"/>
    <col min="23" max="23" width="11.44140625" style="3" customWidth="1"/>
    <col min="24" max="25" width="11.5546875" style="1" customWidth="1"/>
    <col min="26" max="26" width="11.5546875" style="2" customWidth="1"/>
    <col min="27" max="27" width="14.44140625" style="1" customWidth="1"/>
    <col min="28" max="28" width="13.109375" style="1" customWidth="1"/>
    <col min="29" max="29" width="33.44140625" style="1" customWidth="1"/>
    <col min="30" max="16384" width="9.109375" style="1"/>
  </cols>
  <sheetData>
    <row r="2" spans="2:29" x14ac:dyDescent="0.25">
      <c r="B2" s="4" t="s">
        <v>0</v>
      </c>
    </row>
    <row r="3" spans="2:29" ht="16.5" customHeight="1" x14ac:dyDescent="0.25">
      <c r="B3" s="479" t="s">
        <v>1</v>
      </c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1"/>
      <c r="X3" s="540" t="s">
        <v>17</v>
      </c>
      <c r="Y3" s="541"/>
      <c r="Z3" s="542"/>
      <c r="AA3" s="540" t="s">
        <v>4</v>
      </c>
      <c r="AB3" s="542"/>
      <c r="AC3" s="457" t="s">
        <v>136</v>
      </c>
    </row>
    <row r="4" spans="2:29" ht="16.5" customHeight="1" x14ac:dyDescent="0.25">
      <c r="B4" s="460" t="s">
        <v>6</v>
      </c>
      <c r="C4" s="548" t="s">
        <v>7</v>
      </c>
      <c r="D4" s="548" t="s">
        <v>8</v>
      </c>
      <c r="E4" s="548"/>
      <c r="F4" s="47"/>
      <c r="G4" s="47" t="s">
        <v>9</v>
      </c>
      <c r="H4" s="549" t="s">
        <v>137</v>
      </c>
      <c r="I4" s="549"/>
      <c r="J4" s="549"/>
      <c r="K4" s="549"/>
      <c r="L4" s="549" t="s">
        <v>11</v>
      </c>
      <c r="M4" s="549"/>
      <c r="N4" s="549"/>
      <c r="O4" s="539" t="s">
        <v>12</v>
      </c>
      <c r="P4" s="539"/>
      <c r="Q4" s="32" t="s">
        <v>138</v>
      </c>
      <c r="R4" s="32"/>
      <c r="S4" s="33"/>
      <c r="T4" s="483" t="s">
        <v>139</v>
      </c>
      <c r="U4" s="484"/>
      <c r="V4" s="482" t="s">
        <v>16</v>
      </c>
      <c r="W4" s="484"/>
      <c r="X4" s="543"/>
      <c r="Y4" s="544"/>
      <c r="Z4" s="545"/>
      <c r="AA4" s="546"/>
      <c r="AB4" s="547"/>
      <c r="AC4" s="458"/>
    </row>
    <row r="5" spans="2:29" ht="39.75" customHeight="1" x14ac:dyDescent="0.25">
      <c r="B5" s="460"/>
      <c r="C5" s="548"/>
      <c r="D5" s="48" t="s">
        <v>18</v>
      </c>
      <c r="E5" s="48" t="s">
        <v>19</v>
      </c>
      <c r="F5" s="48" t="s">
        <v>21</v>
      </c>
      <c r="G5" s="45" t="s">
        <v>22</v>
      </c>
      <c r="H5" s="539" t="s">
        <v>23</v>
      </c>
      <c r="I5" s="539"/>
      <c r="J5" s="539" t="s">
        <v>140</v>
      </c>
      <c r="K5" s="539"/>
      <c r="L5" s="548" t="s">
        <v>25</v>
      </c>
      <c r="M5" s="548"/>
      <c r="N5" s="45" t="s">
        <v>26</v>
      </c>
      <c r="O5" s="539"/>
      <c r="P5" s="539"/>
      <c r="Q5" s="34" t="s">
        <v>141</v>
      </c>
      <c r="R5" s="35" t="s">
        <v>142</v>
      </c>
      <c r="S5" s="36" t="s">
        <v>21</v>
      </c>
      <c r="T5" s="48" t="s">
        <v>141</v>
      </c>
      <c r="U5" s="45" t="s">
        <v>143</v>
      </c>
      <c r="V5" s="48" t="s">
        <v>141</v>
      </c>
      <c r="W5" s="45" t="s">
        <v>143</v>
      </c>
      <c r="X5" s="539" t="s">
        <v>28</v>
      </c>
      <c r="Y5" s="539"/>
      <c r="Z5" s="45" t="s">
        <v>144</v>
      </c>
      <c r="AA5" s="45" t="s">
        <v>145</v>
      </c>
      <c r="AB5" s="45" t="s">
        <v>146</v>
      </c>
      <c r="AC5" s="458"/>
    </row>
    <row r="6" spans="2:29" ht="14.4" x14ac:dyDescent="0.3">
      <c r="B6" s="460"/>
      <c r="C6" s="548"/>
      <c r="D6" s="37">
        <v>8350</v>
      </c>
      <c r="E6" s="37">
        <v>8350</v>
      </c>
      <c r="F6" s="37"/>
      <c r="G6" s="38">
        <v>0.55000000000000004</v>
      </c>
      <c r="H6" s="46" t="s">
        <v>34</v>
      </c>
      <c r="I6" s="46" t="s">
        <v>35</v>
      </c>
      <c r="J6" s="46" t="s">
        <v>34</v>
      </c>
      <c r="K6" s="46" t="s">
        <v>35</v>
      </c>
      <c r="L6" s="39" t="s">
        <v>36</v>
      </c>
      <c r="M6" s="39" t="s">
        <v>37</v>
      </c>
      <c r="N6" s="48" t="s">
        <v>38</v>
      </c>
      <c r="O6" s="48" t="s">
        <v>34</v>
      </c>
      <c r="P6" s="48" t="s">
        <v>35</v>
      </c>
      <c r="Q6" s="48" t="s">
        <v>39</v>
      </c>
      <c r="R6" s="48" t="s">
        <v>39</v>
      </c>
      <c r="S6" s="48" t="s">
        <v>39</v>
      </c>
      <c r="T6" s="48" t="s">
        <v>40</v>
      </c>
      <c r="U6" s="48" t="s">
        <v>40</v>
      </c>
      <c r="V6" s="48" t="s">
        <v>40</v>
      </c>
      <c r="W6" s="48" t="s">
        <v>40</v>
      </c>
      <c r="X6" s="17" t="s">
        <v>41</v>
      </c>
      <c r="Y6" s="15" t="s">
        <v>42</v>
      </c>
      <c r="Z6" s="9"/>
      <c r="AA6" s="29" t="s">
        <v>147</v>
      </c>
      <c r="AB6" s="44" t="s">
        <v>148</v>
      </c>
      <c r="AC6" s="459"/>
    </row>
    <row r="7" spans="2:29" x14ac:dyDescent="0.25">
      <c r="B7" s="8">
        <v>44438</v>
      </c>
      <c r="C7" s="42" t="str">
        <f>TEXT(B7,"ddd")</f>
        <v>Mon</v>
      </c>
      <c r="D7" s="18">
        <v>0.43</v>
      </c>
      <c r="E7" s="42"/>
      <c r="F7" s="19">
        <f>SUMPRODUCT($D$6:$E$6,D7:E7)</f>
        <v>3590.5</v>
      </c>
      <c r="G7" s="20">
        <v>0.55100000000000005</v>
      </c>
      <c r="H7" s="42"/>
      <c r="I7" s="42"/>
      <c r="J7" s="21">
        <v>3344</v>
      </c>
      <c r="K7" s="22">
        <v>3344</v>
      </c>
      <c r="L7" s="23"/>
      <c r="M7" s="23"/>
      <c r="N7" s="22"/>
      <c r="O7" s="24"/>
      <c r="P7" s="24"/>
      <c r="Q7" s="50">
        <v>3388</v>
      </c>
      <c r="R7" s="51">
        <v>1440</v>
      </c>
      <c r="S7" s="49">
        <f>SUM(Q7:R7)</f>
        <v>4828</v>
      </c>
      <c r="T7" s="44">
        <v>9.4</v>
      </c>
      <c r="U7" s="44">
        <v>12</v>
      </c>
      <c r="V7" s="44">
        <v>9.4</v>
      </c>
      <c r="W7" s="44">
        <v>9.11</v>
      </c>
      <c r="X7" s="7">
        <v>59.037999999999997</v>
      </c>
      <c r="Y7" s="7">
        <f>X7</f>
        <v>59.037999999999997</v>
      </c>
      <c r="Z7" s="11"/>
      <c r="AA7" s="30">
        <v>16</v>
      </c>
      <c r="AB7" s="30">
        <v>2</v>
      </c>
      <c r="AC7" s="17" t="s">
        <v>150</v>
      </c>
    </row>
    <row r="8" spans="2:29" x14ac:dyDescent="0.25">
      <c r="B8" s="8">
        <f>B7+1</f>
        <v>44439</v>
      </c>
      <c r="C8" s="42" t="str">
        <f t="shared" ref="C8:C38" si="0">TEXT(B8,"ddd")</f>
        <v>Tue</v>
      </c>
      <c r="D8" s="18">
        <v>0.98</v>
      </c>
      <c r="E8" s="42"/>
      <c r="F8" s="19">
        <f t="shared" ref="F8:F38" si="1">SUMPRODUCT($D$6:$E$6,D8:E8)</f>
        <v>8183</v>
      </c>
      <c r="G8" s="20">
        <v>0.55500000000000005</v>
      </c>
      <c r="H8" s="42"/>
      <c r="I8" s="42"/>
      <c r="J8" s="21">
        <v>6702</v>
      </c>
      <c r="K8" s="22">
        <f t="shared" ref="K8:K36" si="2">J8-J7</f>
        <v>3358</v>
      </c>
      <c r="L8" s="23"/>
      <c r="M8" s="23"/>
      <c r="N8" s="22"/>
      <c r="O8" s="24"/>
      <c r="P8" s="24"/>
      <c r="Q8" s="50">
        <v>7679</v>
      </c>
      <c r="R8" s="51">
        <v>5060</v>
      </c>
      <c r="S8" s="49">
        <f t="shared" ref="S8:S39" si="3">SUM(Q8:R8)</f>
        <v>12739</v>
      </c>
      <c r="T8" s="44">
        <v>21</v>
      </c>
      <c r="U8" s="44">
        <v>20</v>
      </c>
      <c r="V8" s="44">
        <v>21</v>
      </c>
      <c r="W8" s="44">
        <v>6.9</v>
      </c>
      <c r="X8" s="7">
        <v>227.29</v>
      </c>
      <c r="Y8" s="7">
        <f>X8+Y7</f>
        <v>286.32799999999997</v>
      </c>
      <c r="Z8" s="11"/>
      <c r="AA8" s="30">
        <v>18</v>
      </c>
      <c r="AB8" s="30">
        <v>2</v>
      </c>
      <c r="AC8" s="17" t="s">
        <v>151</v>
      </c>
    </row>
    <row r="9" spans="2:29" x14ac:dyDescent="0.25">
      <c r="B9" s="8">
        <f t="shared" ref="B9:B38" si="4">B8+1</f>
        <v>44440</v>
      </c>
      <c r="C9" s="42" t="str">
        <f t="shared" si="0"/>
        <v>Wed</v>
      </c>
      <c r="D9" s="18">
        <v>0.38</v>
      </c>
      <c r="E9" s="42"/>
      <c r="F9" s="19">
        <f t="shared" si="1"/>
        <v>3173</v>
      </c>
      <c r="G9" s="20">
        <v>0.61299999999999999</v>
      </c>
      <c r="H9" s="42"/>
      <c r="I9" s="42"/>
      <c r="J9" s="21">
        <v>15033</v>
      </c>
      <c r="K9" s="22">
        <f t="shared" si="2"/>
        <v>8331</v>
      </c>
      <c r="L9" s="23">
        <v>0.29166666666666669</v>
      </c>
      <c r="M9" s="23">
        <v>0.37152777777777773</v>
      </c>
      <c r="N9" s="22">
        <v>780</v>
      </c>
      <c r="O9" s="24"/>
      <c r="P9" s="24"/>
      <c r="Q9" s="50">
        <v>8279</v>
      </c>
      <c r="R9" s="51">
        <v>1870</v>
      </c>
      <c r="S9" s="49">
        <f t="shared" si="3"/>
        <v>10149</v>
      </c>
      <c r="T9" s="44">
        <v>21</v>
      </c>
      <c r="U9" s="44">
        <v>20.9</v>
      </c>
      <c r="V9" s="44">
        <v>21</v>
      </c>
      <c r="W9" s="44">
        <v>22.3</v>
      </c>
      <c r="X9" s="7">
        <v>178.84800000000001</v>
      </c>
      <c r="Y9" s="7">
        <f t="shared" ref="Y9:Y36" si="5">X9+Y8</f>
        <v>465.17599999999999</v>
      </c>
      <c r="Z9" s="11"/>
      <c r="AA9" s="30">
        <v>29</v>
      </c>
      <c r="AB9" s="30">
        <v>6</v>
      </c>
      <c r="AC9" s="17" t="s">
        <v>151</v>
      </c>
    </row>
    <row r="10" spans="2:29" x14ac:dyDescent="0.25">
      <c r="B10" s="8">
        <f t="shared" si="4"/>
        <v>44441</v>
      </c>
      <c r="C10" s="42" t="str">
        <f t="shared" si="0"/>
        <v>Thu</v>
      </c>
      <c r="D10" s="18">
        <v>0.31</v>
      </c>
      <c r="E10" s="42"/>
      <c r="F10" s="19">
        <f t="shared" si="1"/>
        <v>2588.5</v>
      </c>
      <c r="G10" s="20">
        <v>0.55400000000000005</v>
      </c>
      <c r="H10" s="42"/>
      <c r="I10" s="42"/>
      <c r="J10" s="21">
        <v>20175</v>
      </c>
      <c r="K10" s="22">
        <f t="shared" si="2"/>
        <v>5142</v>
      </c>
      <c r="L10" s="23"/>
      <c r="M10" s="23"/>
      <c r="N10" s="22"/>
      <c r="O10" s="24"/>
      <c r="P10" s="24"/>
      <c r="Q10" s="50">
        <v>4823</v>
      </c>
      <c r="R10" s="51">
        <v>2040</v>
      </c>
      <c r="S10" s="49">
        <f t="shared" si="3"/>
        <v>6863</v>
      </c>
      <c r="T10" s="44">
        <v>12.4</v>
      </c>
      <c r="U10" s="44">
        <v>17.2</v>
      </c>
      <c r="V10" s="44">
        <v>12.4</v>
      </c>
      <c r="W10" s="44">
        <v>12.4</v>
      </c>
      <c r="X10" s="7">
        <v>132.49800000000002</v>
      </c>
      <c r="Y10" s="7">
        <f t="shared" si="5"/>
        <v>597.67399999999998</v>
      </c>
      <c r="Z10" s="11"/>
      <c r="AA10" s="30">
        <v>39</v>
      </c>
      <c r="AB10" s="30">
        <v>3</v>
      </c>
      <c r="AC10" s="17" t="s">
        <v>150</v>
      </c>
    </row>
    <row r="11" spans="2:29" x14ac:dyDescent="0.25">
      <c r="B11" s="8">
        <f t="shared" si="4"/>
        <v>44442</v>
      </c>
      <c r="C11" s="42" t="str">
        <f t="shared" si="0"/>
        <v>Fri</v>
      </c>
      <c r="D11" s="18">
        <v>0.46</v>
      </c>
      <c r="E11" s="42"/>
      <c r="F11" s="19">
        <f t="shared" si="1"/>
        <v>3841</v>
      </c>
      <c r="G11" s="20">
        <v>0.56200000000000006</v>
      </c>
      <c r="H11" s="42"/>
      <c r="I11" s="42"/>
      <c r="J11" s="21">
        <v>28496</v>
      </c>
      <c r="K11" s="22">
        <f t="shared" si="2"/>
        <v>8321</v>
      </c>
      <c r="L11" s="23"/>
      <c r="M11" s="23"/>
      <c r="N11" s="22"/>
      <c r="O11" s="24"/>
      <c r="P11" s="24"/>
      <c r="Q11" s="50">
        <v>8786</v>
      </c>
      <c r="R11" s="51">
        <v>2360</v>
      </c>
      <c r="S11" s="49">
        <f t="shared" si="3"/>
        <v>11146</v>
      </c>
      <c r="T11" s="44">
        <v>22</v>
      </c>
      <c r="U11" s="44">
        <v>22.3</v>
      </c>
      <c r="V11" s="44">
        <v>22</v>
      </c>
      <c r="W11" s="44">
        <v>20.149999999999999</v>
      </c>
      <c r="X11" s="7">
        <v>280.98399999999998</v>
      </c>
      <c r="Y11" s="7">
        <f t="shared" si="5"/>
        <v>878.6579999999999</v>
      </c>
      <c r="Z11" s="11"/>
      <c r="AA11" s="30">
        <v>40</v>
      </c>
      <c r="AB11" s="30">
        <v>2</v>
      </c>
      <c r="AC11" s="17" t="s">
        <v>151</v>
      </c>
    </row>
    <row r="12" spans="2:29" x14ac:dyDescent="0.25">
      <c r="B12" s="8">
        <f t="shared" si="4"/>
        <v>44443</v>
      </c>
      <c r="C12" s="42" t="str">
        <f t="shared" si="0"/>
        <v>Sat</v>
      </c>
      <c r="D12" s="18">
        <v>1</v>
      </c>
      <c r="E12" s="42"/>
      <c r="F12" s="19">
        <f t="shared" si="1"/>
        <v>8350</v>
      </c>
      <c r="G12" s="20">
        <v>0.58899999999999997</v>
      </c>
      <c r="H12" s="42"/>
      <c r="I12" s="42"/>
      <c r="J12" s="21">
        <v>29766</v>
      </c>
      <c r="K12" s="22">
        <f t="shared" si="2"/>
        <v>1270</v>
      </c>
      <c r="L12" s="23">
        <v>0.61319444444444449</v>
      </c>
      <c r="M12" s="23">
        <v>0.6777777777777777</v>
      </c>
      <c r="N12" s="22">
        <v>624</v>
      </c>
      <c r="O12" s="24"/>
      <c r="P12" s="24"/>
      <c r="Q12" s="50">
        <v>1173</v>
      </c>
      <c r="R12" s="51">
        <v>1385</v>
      </c>
      <c r="S12" s="49">
        <f t="shared" si="3"/>
        <v>2558</v>
      </c>
      <c r="T12" s="44">
        <v>3.3</v>
      </c>
      <c r="U12" s="44">
        <v>6.7</v>
      </c>
      <c r="V12" s="44">
        <v>3.3</v>
      </c>
      <c r="W12" s="44">
        <v>2.68</v>
      </c>
      <c r="X12" s="7">
        <v>5.6680000000000001</v>
      </c>
      <c r="Y12" s="7">
        <f t="shared" si="5"/>
        <v>884.32599999999991</v>
      </c>
      <c r="Z12" s="11"/>
      <c r="AA12" s="30">
        <v>34</v>
      </c>
      <c r="AB12" s="30">
        <v>3</v>
      </c>
      <c r="AC12" s="17" t="s">
        <v>152</v>
      </c>
    </row>
    <row r="13" spans="2:29" x14ac:dyDescent="0.25">
      <c r="B13" s="8">
        <f t="shared" si="4"/>
        <v>44444</v>
      </c>
      <c r="C13" s="42" t="str">
        <f t="shared" si="0"/>
        <v>Sun</v>
      </c>
      <c r="D13" s="18">
        <v>1</v>
      </c>
      <c r="E13" s="42"/>
      <c r="F13" s="19">
        <f t="shared" si="1"/>
        <v>8350</v>
      </c>
      <c r="G13" s="20">
        <v>0.57099999999999995</v>
      </c>
      <c r="H13" s="42"/>
      <c r="I13" s="42"/>
      <c r="J13" s="21">
        <v>34096</v>
      </c>
      <c r="K13" s="22">
        <f t="shared" si="2"/>
        <v>4330</v>
      </c>
      <c r="L13" s="23">
        <v>0.26041666666666669</v>
      </c>
      <c r="M13" s="23">
        <v>0.54861111111111105</v>
      </c>
      <c r="N13" s="22">
        <v>3308</v>
      </c>
      <c r="O13" s="24"/>
      <c r="P13" s="24"/>
      <c r="Q13" s="50">
        <v>3391</v>
      </c>
      <c r="R13" s="51">
        <v>1015</v>
      </c>
      <c r="S13" s="49">
        <f t="shared" si="3"/>
        <v>4406</v>
      </c>
      <c r="T13" s="44">
        <v>8.8000000000000007</v>
      </c>
      <c r="U13" s="44">
        <v>11.6</v>
      </c>
      <c r="V13" s="44">
        <v>8.8000000000000007</v>
      </c>
      <c r="W13" s="44">
        <v>10.62</v>
      </c>
      <c r="X13" s="7">
        <v>84.343999999999994</v>
      </c>
      <c r="Y13" s="7">
        <f t="shared" si="5"/>
        <v>968.66999999999985</v>
      </c>
      <c r="Z13" s="12"/>
      <c r="AA13" s="30">
        <v>33</v>
      </c>
      <c r="AB13" s="30">
        <v>4</v>
      </c>
      <c r="AC13" s="17" t="s">
        <v>150</v>
      </c>
    </row>
    <row r="14" spans="2:29" x14ac:dyDescent="0.25">
      <c r="B14" s="8">
        <f t="shared" si="4"/>
        <v>44445</v>
      </c>
      <c r="C14" s="42" t="str">
        <f t="shared" si="0"/>
        <v>Mon</v>
      </c>
      <c r="D14" s="18">
        <v>0.78</v>
      </c>
      <c r="E14" s="42"/>
      <c r="F14" s="19">
        <f t="shared" si="1"/>
        <v>6513</v>
      </c>
      <c r="G14" s="20">
        <v>0.56200000000000006</v>
      </c>
      <c r="H14" s="42"/>
      <c r="I14" s="42"/>
      <c r="J14" s="21">
        <v>43336</v>
      </c>
      <c r="K14" s="22">
        <f t="shared" si="2"/>
        <v>9240</v>
      </c>
      <c r="L14" s="25"/>
      <c r="M14" s="25"/>
      <c r="N14" s="22"/>
      <c r="O14" s="24"/>
      <c r="P14" s="24"/>
      <c r="Q14" s="50">
        <v>8017</v>
      </c>
      <c r="R14" s="51">
        <v>1500</v>
      </c>
      <c r="S14" s="49">
        <f t="shared" si="3"/>
        <v>9517</v>
      </c>
      <c r="T14" s="44">
        <v>21</v>
      </c>
      <c r="U14" s="44">
        <v>20.399999999999999</v>
      </c>
      <c r="V14" s="44">
        <v>21</v>
      </c>
      <c r="W14" s="44">
        <v>23</v>
      </c>
      <c r="X14" s="7">
        <v>265.37400000000002</v>
      </c>
      <c r="Y14" s="7">
        <f t="shared" si="5"/>
        <v>1234.0439999999999</v>
      </c>
      <c r="Z14" s="10">
        <v>0.13</v>
      </c>
      <c r="AA14" s="30">
        <v>30</v>
      </c>
      <c r="AB14" s="30">
        <v>3</v>
      </c>
      <c r="AC14" s="17" t="s">
        <v>151</v>
      </c>
    </row>
    <row r="15" spans="2:29" x14ac:dyDescent="0.25">
      <c r="B15" s="8">
        <f t="shared" si="4"/>
        <v>44446</v>
      </c>
      <c r="C15" s="42" t="str">
        <f t="shared" si="0"/>
        <v>Tue</v>
      </c>
      <c r="D15" s="18">
        <v>0.83</v>
      </c>
      <c r="E15" s="42"/>
      <c r="F15" s="19">
        <f t="shared" si="1"/>
        <v>6930.5</v>
      </c>
      <c r="G15" s="20">
        <v>0.55900000000000005</v>
      </c>
      <c r="H15" s="42"/>
      <c r="I15" s="42"/>
      <c r="J15" s="21">
        <v>51855</v>
      </c>
      <c r="K15" s="22">
        <f t="shared" si="2"/>
        <v>8519</v>
      </c>
      <c r="L15" s="25"/>
      <c r="M15" s="25"/>
      <c r="N15" s="22"/>
      <c r="O15" s="24"/>
      <c r="P15" s="24"/>
      <c r="Q15" s="50">
        <v>8138</v>
      </c>
      <c r="R15" s="51">
        <v>1570</v>
      </c>
      <c r="S15" s="49">
        <f t="shared" si="3"/>
        <v>9708</v>
      </c>
      <c r="T15" s="44">
        <v>20.8</v>
      </c>
      <c r="U15" s="44">
        <v>21.5</v>
      </c>
      <c r="V15" s="44">
        <v>20.8</v>
      </c>
      <c r="W15" s="44">
        <v>23.2</v>
      </c>
      <c r="X15" s="7">
        <v>164.62</v>
      </c>
      <c r="Y15" s="7">
        <f t="shared" si="5"/>
        <v>1398.6639999999998</v>
      </c>
      <c r="Z15" s="10">
        <v>8.1699999999999995E-2</v>
      </c>
      <c r="AA15" s="30">
        <v>31</v>
      </c>
      <c r="AB15" s="30">
        <v>2</v>
      </c>
      <c r="AC15" s="17" t="s">
        <v>151</v>
      </c>
    </row>
    <row r="16" spans="2:29" x14ac:dyDescent="0.25">
      <c r="B16" s="8">
        <f t="shared" si="4"/>
        <v>44447</v>
      </c>
      <c r="C16" s="42" t="str">
        <f t="shared" si="0"/>
        <v>Wed</v>
      </c>
      <c r="D16" s="18">
        <v>0.83</v>
      </c>
      <c r="E16" s="42"/>
      <c r="F16" s="19">
        <f t="shared" si="1"/>
        <v>6930.5</v>
      </c>
      <c r="G16" s="20">
        <v>0.55700000000000005</v>
      </c>
      <c r="H16" s="42"/>
      <c r="I16" s="42"/>
      <c r="J16" s="21">
        <v>57753</v>
      </c>
      <c r="K16" s="22">
        <f t="shared" si="2"/>
        <v>5898</v>
      </c>
      <c r="L16" s="24"/>
      <c r="M16" s="24"/>
      <c r="N16" s="22"/>
      <c r="O16" s="24"/>
      <c r="P16" s="24"/>
      <c r="Q16" s="50">
        <v>5315</v>
      </c>
      <c r="R16" s="51">
        <v>1620</v>
      </c>
      <c r="S16" s="49">
        <f t="shared" si="3"/>
        <v>6935</v>
      </c>
      <c r="T16" s="44">
        <v>14.3</v>
      </c>
      <c r="U16" s="44">
        <v>18.5</v>
      </c>
      <c r="V16" s="44">
        <v>14.3</v>
      </c>
      <c r="W16" s="44">
        <v>14.42</v>
      </c>
      <c r="X16" s="7">
        <v>149.43199999999999</v>
      </c>
      <c r="Y16" s="7">
        <f t="shared" si="5"/>
        <v>1548.0959999999998</v>
      </c>
      <c r="Z16" s="10">
        <v>0.1183</v>
      </c>
      <c r="AA16" s="30">
        <v>35</v>
      </c>
      <c r="AB16" s="30">
        <v>2</v>
      </c>
      <c r="AC16" s="17" t="s">
        <v>150</v>
      </c>
    </row>
    <row r="17" spans="2:29" x14ac:dyDescent="0.25">
      <c r="B17" s="8">
        <f t="shared" si="4"/>
        <v>44448</v>
      </c>
      <c r="C17" s="42" t="str">
        <f t="shared" si="0"/>
        <v>Thu</v>
      </c>
      <c r="D17" s="18">
        <v>0.3</v>
      </c>
      <c r="E17" s="42"/>
      <c r="F17" s="19">
        <f t="shared" si="1"/>
        <v>2505</v>
      </c>
      <c r="G17" s="20">
        <v>0.56499999999999995</v>
      </c>
      <c r="H17" s="42"/>
      <c r="I17" s="42"/>
      <c r="J17" s="21">
        <v>65969</v>
      </c>
      <c r="K17" s="22">
        <f t="shared" si="2"/>
        <v>8216</v>
      </c>
      <c r="L17" s="26">
        <v>0.29930555555555555</v>
      </c>
      <c r="M17" s="26">
        <v>0.31527777777777777</v>
      </c>
      <c r="N17" s="22">
        <v>138</v>
      </c>
      <c r="O17" s="24"/>
      <c r="P17" s="24"/>
      <c r="Q17" s="50">
        <v>7517</v>
      </c>
      <c r="R17" s="51">
        <v>1940</v>
      </c>
      <c r="S17" s="49">
        <f t="shared" si="3"/>
        <v>9457</v>
      </c>
      <c r="T17" s="44">
        <v>18.3</v>
      </c>
      <c r="U17" s="44">
        <v>21.3</v>
      </c>
      <c r="V17" s="44">
        <v>18.3</v>
      </c>
      <c r="W17" s="44">
        <v>21</v>
      </c>
      <c r="X17" s="7">
        <v>253</v>
      </c>
      <c r="Y17" s="7">
        <f t="shared" si="5"/>
        <v>1801.0959999999998</v>
      </c>
      <c r="Z17" s="10">
        <v>0.1072</v>
      </c>
      <c r="AA17" s="30">
        <v>35</v>
      </c>
      <c r="AB17" s="30">
        <v>3</v>
      </c>
      <c r="AC17" s="17" t="s">
        <v>151</v>
      </c>
    </row>
    <row r="18" spans="2:29" x14ac:dyDescent="0.25">
      <c r="B18" s="8">
        <f t="shared" si="4"/>
        <v>44449</v>
      </c>
      <c r="C18" s="42" t="str">
        <f t="shared" si="0"/>
        <v>Fri</v>
      </c>
      <c r="D18" s="18">
        <v>0.45</v>
      </c>
      <c r="E18" s="42"/>
      <c r="F18" s="19">
        <f t="shared" si="1"/>
        <v>3757.5</v>
      </c>
      <c r="G18" s="20">
        <v>0.56299999999999994</v>
      </c>
      <c r="H18" s="42"/>
      <c r="I18" s="42"/>
      <c r="J18" s="21">
        <v>75077</v>
      </c>
      <c r="K18" s="22">
        <f t="shared" si="2"/>
        <v>9108</v>
      </c>
      <c r="L18" s="26"/>
      <c r="M18" s="26"/>
      <c r="N18" s="22"/>
      <c r="O18" s="24"/>
      <c r="P18" s="24"/>
      <c r="Q18" s="50">
        <v>8304</v>
      </c>
      <c r="R18" s="51">
        <v>1870</v>
      </c>
      <c r="S18" s="49">
        <f t="shared" si="3"/>
        <v>10174</v>
      </c>
      <c r="T18" s="44">
        <v>21.6</v>
      </c>
      <c r="U18" s="44">
        <v>21.5</v>
      </c>
      <c r="V18" s="44">
        <v>21.6</v>
      </c>
      <c r="W18" s="44">
        <v>22.54</v>
      </c>
      <c r="X18" s="7">
        <v>252.1</v>
      </c>
      <c r="Y18" s="7">
        <f t="shared" si="5"/>
        <v>2053.1959999999999</v>
      </c>
      <c r="Z18" s="10">
        <v>0.1231</v>
      </c>
      <c r="AA18" s="30">
        <v>40</v>
      </c>
      <c r="AB18" s="30">
        <v>3</v>
      </c>
      <c r="AC18" s="17" t="s">
        <v>151</v>
      </c>
    </row>
    <row r="19" spans="2:29" x14ac:dyDescent="0.25">
      <c r="B19" s="8">
        <f t="shared" si="4"/>
        <v>44450</v>
      </c>
      <c r="C19" s="42" t="str">
        <f t="shared" si="0"/>
        <v>Sat</v>
      </c>
      <c r="D19" s="18">
        <v>0.68</v>
      </c>
      <c r="E19" s="42"/>
      <c r="F19" s="19">
        <f t="shared" si="1"/>
        <v>5678</v>
      </c>
      <c r="G19" s="20">
        <v>0.55800000000000005</v>
      </c>
      <c r="H19" s="42"/>
      <c r="I19" s="42"/>
      <c r="J19" s="21">
        <v>77261</v>
      </c>
      <c r="K19" s="22">
        <f t="shared" si="2"/>
        <v>2184</v>
      </c>
      <c r="L19" s="26">
        <v>0.67708333333333337</v>
      </c>
      <c r="M19" s="26">
        <v>0.72222222222222221</v>
      </c>
      <c r="N19" s="22">
        <v>443</v>
      </c>
      <c r="O19" s="24"/>
      <c r="P19" s="24"/>
      <c r="Q19" s="50">
        <v>1437</v>
      </c>
      <c r="R19" s="51">
        <v>1050</v>
      </c>
      <c r="S19" s="49">
        <f t="shared" si="3"/>
        <v>2487</v>
      </c>
      <c r="T19" s="44">
        <v>4</v>
      </c>
      <c r="U19" s="44">
        <v>8.5</v>
      </c>
      <c r="V19" s="44">
        <v>4</v>
      </c>
      <c r="W19" s="44">
        <v>4.5199999999999996</v>
      </c>
      <c r="X19" s="7">
        <v>0</v>
      </c>
      <c r="Y19" s="7">
        <f t="shared" si="5"/>
        <v>2053.1959999999999</v>
      </c>
      <c r="Z19" s="10"/>
      <c r="AA19" s="30">
        <v>37</v>
      </c>
      <c r="AB19" s="30">
        <v>4</v>
      </c>
      <c r="AC19" s="17" t="s">
        <v>152</v>
      </c>
    </row>
    <row r="20" spans="2:29" x14ac:dyDescent="0.25">
      <c r="B20" s="8">
        <f t="shared" si="4"/>
        <v>44451</v>
      </c>
      <c r="C20" s="42" t="str">
        <f t="shared" si="0"/>
        <v>Sun</v>
      </c>
      <c r="D20" s="18">
        <v>0.75</v>
      </c>
      <c r="E20" s="42"/>
      <c r="F20" s="19">
        <f t="shared" si="1"/>
        <v>6262.5</v>
      </c>
      <c r="G20" s="20"/>
      <c r="H20" s="42"/>
      <c r="I20" s="42"/>
      <c r="J20" s="21">
        <v>77261</v>
      </c>
      <c r="K20" s="22">
        <f t="shared" si="2"/>
        <v>0</v>
      </c>
      <c r="L20" s="26"/>
      <c r="M20" s="26"/>
      <c r="N20" s="22"/>
      <c r="O20" s="24"/>
      <c r="P20" s="24"/>
      <c r="Q20" s="50"/>
      <c r="R20" s="51"/>
      <c r="S20" s="49"/>
      <c r="T20" s="44"/>
      <c r="U20" s="44"/>
      <c r="V20" s="44"/>
      <c r="W20" s="44"/>
      <c r="X20" s="7">
        <v>0</v>
      </c>
      <c r="Y20" s="7">
        <f t="shared" si="5"/>
        <v>2053.1959999999999</v>
      </c>
      <c r="Z20" s="10">
        <v>0.1242</v>
      </c>
      <c r="AA20" s="30">
        <v>33</v>
      </c>
      <c r="AB20" s="30">
        <v>2</v>
      </c>
      <c r="AC20" s="17" t="s">
        <v>152</v>
      </c>
    </row>
    <row r="21" spans="2:29" x14ac:dyDescent="0.25">
      <c r="B21" s="8">
        <f t="shared" si="4"/>
        <v>44452</v>
      </c>
      <c r="C21" s="42" t="str">
        <f t="shared" si="0"/>
        <v>Mon</v>
      </c>
      <c r="D21" s="18">
        <v>0.8</v>
      </c>
      <c r="E21" s="42"/>
      <c r="F21" s="19">
        <f t="shared" si="1"/>
        <v>6680</v>
      </c>
      <c r="G21" s="20">
        <v>0.55000000000000004</v>
      </c>
      <c r="H21" s="42"/>
      <c r="I21" s="42"/>
      <c r="J21" s="21">
        <v>85285</v>
      </c>
      <c r="K21" s="22">
        <f t="shared" si="2"/>
        <v>8024</v>
      </c>
      <c r="L21" s="26">
        <v>0.35069444444444442</v>
      </c>
      <c r="M21" s="26">
        <v>0.36527777777777781</v>
      </c>
      <c r="N21" s="22">
        <v>136</v>
      </c>
      <c r="O21" s="24"/>
      <c r="P21" s="24"/>
      <c r="Q21" s="50">
        <v>5730</v>
      </c>
      <c r="R21" s="51">
        <v>1990</v>
      </c>
      <c r="S21" s="49">
        <f t="shared" si="3"/>
        <v>7720</v>
      </c>
      <c r="T21" s="44">
        <v>15.6</v>
      </c>
      <c r="U21" s="44">
        <v>18.8</v>
      </c>
      <c r="V21" s="44">
        <v>15.6</v>
      </c>
      <c r="W21" s="44">
        <v>19.5</v>
      </c>
      <c r="X21" s="7">
        <v>79.2</v>
      </c>
      <c r="Y21" s="7">
        <f t="shared" si="5"/>
        <v>2132.3959999999997</v>
      </c>
      <c r="Z21" s="10">
        <v>0.1119</v>
      </c>
      <c r="AA21" s="30">
        <v>36</v>
      </c>
      <c r="AB21" s="30">
        <v>3</v>
      </c>
      <c r="AC21" s="17" t="s">
        <v>151</v>
      </c>
    </row>
    <row r="22" spans="2:29" x14ac:dyDescent="0.25">
      <c r="B22" s="8">
        <f t="shared" si="4"/>
        <v>44453</v>
      </c>
      <c r="C22" s="42" t="str">
        <f t="shared" si="0"/>
        <v>Tue</v>
      </c>
      <c r="D22" s="18">
        <v>0.82</v>
      </c>
      <c r="E22" s="42"/>
      <c r="F22" s="19">
        <f t="shared" si="1"/>
        <v>6847</v>
      </c>
      <c r="G22" s="20">
        <v>0.57099999999999995</v>
      </c>
      <c r="H22" s="42"/>
      <c r="I22" s="42"/>
      <c r="J22" s="21">
        <v>93506</v>
      </c>
      <c r="K22" s="22">
        <f t="shared" si="2"/>
        <v>8221</v>
      </c>
      <c r="L22" s="24"/>
      <c r="M22" s="24"/>
      <c r="N22" s="22"/>
      <c r="O22" s="24"/>
      <c r="P22" s="24"/>
      <c r="Q22" s="50">
        <v>7274</v>
      </c>
      <c r="R22" s="51">
        <v>1925</v>
      </c>
      <c r="S22" s="49">
        <f t="shared" si="3"/>
        <v>9199</v>
      </c>
      <c r="T22" s="44">
        <v>20.3</v>
      </c>
      <c r="U22" s="44">
        <v>20.5</v>
      </c>
      <c r="V22" s="44">
        <v>20.3</v>
      </c>
      <c r="W22" s="44">
        <v>22.1</v>
      </c>
      <c r="X22" s="7">
        <v>156.4</v>
      </c>
      <c r="Y22" s="7">
        <f t="shared" si="5"/>
        <v>2288.7959999999998</v>
      </c>
      <c r="Z22" s="10"/>
      <c r="AA22" s="30">
        <v>28</v>
      </c>
      <c r="AB22" s="30">
        <v>2</v>
      </c>
      <c r="AC22" s="17" t="s">
        <v>151</v>
      </c>
    </row>
    <row r="23" spans="2:29" x14ac:dyDescent="0.25">
      <c r="B23" s="8">
        <f t="shared" si="4"/>
        <v>44454</v>
      </c>
      <c r="C23" s="42" t="str">
        <f t="shared" si="0"/>
        <v>Wed</v>
      </c>
      <c r="D23" s="18">
        <v>0.81</v>
      </c>
      <c r="E23" s="42"/>
      <c r="F23" s="19">
        <f t="shared" si="1"/>
        <v>6763.5</v>
      </c>
      <c r="G23" s="20">
        <v>0.56799999999999995</v>
      </c>
      <c r="H23" s="42"/>
      <c r="I23" s="42"/>
      <c r="J23" s="21">
        <v>95100</v>
      </c>
      <c r="K23" s="22">
        <f t="shared" si="2"/>
        <v>1594</v>
      </c>
      <c r="L23" s="24"/>
      <c r="M23" s="24"/>
      <c r="N23" s="22"/>
      <c r="O23" s="24"/>
      <c r="P23" s="24"/>
      <c r="Q23" s="50">
        <v>3951</v>
      </c>
      <c r="R23" s="51">
        <v>3520</v>
      </c>
      <c r="S23" s="49">
        <f t="shared" si="3"/>
        <v>7471</v>
      </c>
      <c r="T23" s="44">
        <v>10</v>
      </c>
      <c r="U23" s="44">
        <v>14</v>
      </c>
      <c r="V23" s="44">
        <v>10</v>
      </c>
      <c r="W23" s="44">
        <v>3</v>
      </c>
      <c r="X23" s="7">
        <v>99.5</v>
      </c>
      <c r="Y23" s="7">
        <f t="shared" si="5"/>
        <v>2388.2959999999998</v>
      </c>
      <c r="Z23" s="10"/>
      <c r="AA23" s="30">
        <v>33</v>
      </c>
      <c r="AB23" s="30">
        <v>1</v>
      </c>
      <c r="AC23" s="17" t="s">
        <v>150</v>
      </c>
    </row>
    <row r="24" spans="2:29" x14ac:dyDescent="0.25">
      <c r="B24" s="8">
        <f t="shared" si="4"/>
        <v>44455</v>
      </c>
      <c r="C24" s="42" t="str">
        <f t="shared" si="0"/>
        <v>Thu</v>
      </c>
      <c r="D24" s="18">
        <v>0.8</v>
      </c>
      <c r="E24" s="42"/>
      <c r="F24" s="19">
        <f t="shared" si="1"/>
        <v>6680</v>
      </c>
      <c r="G24" s="20">
        <v>0.56799999999999995</v>
      </c>
      <c r="H24" s="42"/>
      <c r="I24" s="42"/>
      <c r="J24" s="21">
        <v>95100</v>
      </c>
      <c r="K24" s="22">
        <f t="shared" si="2"/>
        <v>0</v>
      </c>
      <c r="L24" s="24"/>
      <c r="M24" s="24"/>
      <c r="N24" s="22"/>
      <c r="O24" s="24"/>
      <c r="P24" s="24"/>
      <c r="Q24" s="50">
        <v>8010</v>
      </c>
      <c r="R24" s="51">
        <v>6510</v>
      </c>
      <c r="S24" s="49">
        <f t="shared" si="3"/>
        <v>14520</v>
      </c>
      <c r="T24" s="44">
        <v>23</v>
      </c>
      <c r="U24" s="44">
        <v>23</v>
      </c>
      <c r="V24" s="44">
        <v>23</v>
      </c>
      <c r="W24" s="44"/>
      <c r="X24" s="7">
        <v>158.30000000000001</v>
      </c>
      <c r="Y24" s="7">
        <f t="shared" si="5"/>
        <v>2546.596</v>
      </c>
      <c r="Z24" s="10">
        <v>0.11259999999999999</v>
      </c>
      <c r="AA24" s="30">
        <v>39</v>
      </c>
      <c r="AB24" s="30">
        <v>4</v>
      </c>
      <c r="AC24" s="17" t="s">
        <v>151</v>
      </c>
    </row>
    <row r="25" spans="2:29" x14ac:dyDescent="0.25">
      <c r="B25" s="8">
        <f t="shared" si="4"/>
        <v>44456</v>
      </c>
      <c r="C25" s="42" t="str">
        <f t="shared" si="0"/>
        <v>Fri</v>
      </c>
      <c r="D25" s="18">
        <v>0.85</v>
      </c>
      <c r="E25" s="42"/>
      <c r="F25" s="19">
        <f t="shared" si="1"/>
        <v>7097.5</v>
      </c>
      <c r="G25" s="20"/>
      <c r="H25" s="42"/>
      <c r="I25" s="42"/>
      <c r="J25" s="21">
        <v>95100</v>
      </c>
      <c r="K25" s="22">
        <f t="shared" si="2"/>
        <v>0</v>
      </c>
      <c r="L25" s="24"/>
      <c r="M25" s="24"/>
      <c r="N25" s="22"/>
      <c r="O25" s="24"/>
      <c r="P25" s="24"/>
      <c r="Q25" s="50">
        <v>5763</v>
      </c>
      <c r="R25" s="51">
        <v>5800</v>
      </c>
      <c r="S25" s="49">
        <f t="shared" si="3"/>
        <v>11563</v>
      </c>
      <c r="T25" s="44">
        <v>16.600000000000001</v>
      </c>
      <c r="U25" s="44">
        <v>20</v>
      </c>
      <c r="V25" s="44">
        <v>16.600000000000001</v>
      </c>
      <c r="W25" s="44"/>
      <c r="X25" s="7">
        <v>77.400000000000006</v>
      </c>
      <c r="Y25" s="7">
        <f t="shared" si="5"/>
        <v>2623.9960000000001</v>
      </c>
      <c r="Z25" s="10">
        <v>0.1036</v>
      </c>
      <c r="AA25" s="30">
        <v>45</v>
      </c>
      <c r="AB25" s="30">
        <v>1</v>
      </c>
      <c r="AC25" s="17" t="s">
        <v>150</v>
      </c>
    </row>
    <row r="26" spans="2:29" x14ac:dyDescent="0.25">
      <c r="B26" s="8">
        <f t="shared" si="4"/>
        <v>44457</v>
      </c>
      <c r="C26" s="42" t="str">
        <f t="shared" si="0"/>
        <v>Sat</v>
      </c>
      <c r="D26" s="18">
        <v>0.93</v>
      </c>
      <c r="E26" s="42"/>
      <c r="F26" s="19">
        <f t="shared" si="1"/>
        <v>7765.5</v>
      </c>
      <c r="G26" s="20"/>
      <c r="H26" s="42"/>
      <c r="I26" s="42"/>
      <c r="J26" s="21">
        <v>95100</v>
      </c>
      <c r="K26" s="22">
        <f t="shared" si="2"/>
        <v>0</v>
      </c>
      <c r="L26" s="24"/>
      <c r="M26" s="24"/>
      <c r="N26" s="22"/>
      <c r="O26" s="24"/>
      <c r="P26" s="24"/>
      <c r="Q26" s="50"/>
      <c r="R26" s="51"/>
      <c r="S26" s="49"/>
      <c r="T26" s="44"/>
      <c r="U26" s="44"/>
      <c r="V26" s="44"/>
      <c r="W26" s="44"/>
      <c r="X26" s="7"/>
      <c r="Y26" s="7">
        <f t="shared" si="5"/>
        <v>2623.9960000000001</v>
      </c>
      <c r="Z26" s="13"/>
      <c r="AA26" s="30">
        <v>35</v>
      </c>
      <c r="AB26" s="30">
        <v>1</v>
      </c>
      <c r="AC26" s="17" t="s">
        <v>152</v>
      </c>
    </row>
    <row r="27" spans="2:29" x14ac:dyDescent="0.25">
      <c r="B27" s="8">
        <f t="shared" si="4"/>
        <v>44458</v>
      </c>
      <c r="C27" s="42" t="str">
        <f t="shared" si="0"/>
        <v>Sun</v>
      </c>
      <c r="D27" s="18">
        <v>0.96</v>
      </c>
      <c r="E27" s="42"/>
      <c r="F27" s="19">
        <f t="shared" si="1"/>
        <v>8016</v>
      </c>
      <c r="G27" s="20"/>
      <c r="H27" s="42"/>
      <c r="I27" s="42"/>
      <c r="J27" s="21">
        <v>95100</v>
      </c>
      <c r="K27" s="22">
        <f t="shared" si="2"/>
        <v>0</v>
      </c>
      <c r="L27" s="24"/>
      <c r="M27" s="24"/>
      <c r="N27" s="22"/>
      <c r="O27" s="24"/>
      <c r="P27" s="24"/>
      <c r="Q27" s="50"/>
      <c r="R27" s="51"/>
      <c r="S27" s="49"/>
      <c r="T27" s="44"/>
      <c r="U27" s="44"/>
      <c r="V27" s="44"/>
      <c r="W27" s="44"/>
      <c r="X27" s="7"/>
      <c r="Y27" s="7">
        <f t="shared" si="5"/>
        <v>2623.9960000000001</v>
      </c>
      <c r="Z27" s="13"/>
      <c r="AA27" s="30">
        <v>30</v>
      </c>
      <c r="AB27" s="30">
        <v>2</v>
      </c>
      <c r="AC27" s="17" t="s">
        <v>152</v>
      </c>
    </row>
    <row r="28" spans="2:29" x14ac:dyDescent="0.25">
      <c r="B28" s="8">
        <f t="shared" si="4"/>
        <v>44459</v>
      </c>
      <c r="C28" s="42" t="str">
        <f t="shared" si="0"/>
        <v>Mon</v>
      </c>
      <c r="D28" s="18">
        <v>0.97</v>
      </c>
      <c r="E28" s="42"/>
      <c r="F28" s="19">
        <f t="shared" si="1"/>
        <v>8099.5</v>
      </c>
      <c r="G28" s="20">
        <v>0.55900000000000005</v>
      </c>
      <c r="H28" s="42"/>
      <c r="I28" s="42"/>
      <c r="J28" s="21">
        <v>95100</v>
      </c>
      <c r="K28" s="22">
        <f t="shared" si="2"/>
        <v>0</v>
      </c>
      <c r="L28" s="26">
        <v>0.75416666666666676</v>
      </c>
      <c r="M28" s="26">
        <v>0.75694444444444453</v>
      </c>
      <c r="N28" s="22">
        <v>17</v>
      </c>
      <c r="O28" s="24"/>
      <c r="P28" s="24"/>
      <c r="Q28" s="50">
        <v>4558</v>
      </c>
      <c r="R28" s="51"/>
      <c r="S28" s="49">
        <f t="shared" si="3"/>
        <v>4558</v>
      </c>
      <c r="T28" s="44">
        <v>8.4</v>
      </c>
      <c r="U28" s="44"/>
      <c r="V28" s="44">
        <v>8.4</v>
      </c>
      <c r="W28" s="44"/>
      <c r="X28" s="7">
        <v>11</v>
      </c>
      <c r="Y28" s="7">
        <f t="shared" si="5"/>
        <v>2634.9960000000001</v>
      </c>
      <c r="Z28" s="13"/>
      <c r="AA28" s="30">
        <v>31</v>
      </c>
      <c r="AB28" s="30">
        <v>3</v>
      </c>
      <c r="AC28" s="17" t="s">
        <v>150</v>
      </c>
    </row>
    <row r="29" spans="2:29" x14ac:dyDescent="0.25">
      <c r="B29" s="8">
        <f t="shared" si="4"/>
        <v>44460</v>
      </c>
      <c r="C29" s="42" t="str">
        <f t="shared" si="0"/>
        <v>Tue</v>
      </c>
      <c r="D29" s="18">
        <v>0.67149999999999999</v>
      </c>
      <c r="E29" s="42"/>
      <c r="F29" s="19">
        <f t="shared" si="1"/>
        <v>5607.0249999999996</v>
      </c>
      <c r="G29" s="20">
        <v>0.56499999999999995</v>
      </c>
      <c r="H29" s="42"/>
      <c r="I29" s="42"/>
      <c r="J29" s="21">
        <v>100184</v>
      </c>
      <c r="K29" s="22">
        <f t="shared" si="2"/>
        <v>5084</v>
      </c>
      <c r="L29" s="24"/>
      <c r="M29" s="24"/>
      <c r="N29" s="22"/>
      <c r="O29" s="24"/>
      <c r="P29" s="24"/>
      <c r="Q29" s="50">
        <v>7654</v>
      </c>
      <c r="R29" s="51">
        <v>1690</v>
      </c>
      <c r="S29" s="49">
        <f t="shared" si="3"/>
        <v>9344</v>
      </c>
      <c r="T29" s="44">
        <v>20</v>
      </c>
      <c r="U29" s="44">
        <v>18</v>
      </c>
      <c r="V29" s="44">
        <v>20</v>
      </c>
      <c r="W29" s="44"/>
      <c r="X29" s="7">
        <v>92.2</v>
      </c>
      <c r="Y29" s="7">
        <f t="shared" si="5"/>
        <v>2727.1959999999999</v>
      </c>
      <c r="Z29" s="13"/>
      <c r="AA29" s="30">
        <v>84</v>
      </c>
      <c r="AB29" s="30">
        <v>11</v>
      </c>
      <c r="AC29" s="17" t="s">
        <v>151</v>
      </c>
    </row>
    <row r="30" spans="2:29" x14ac:dyDescent="0.25">
      <c r="B30" s="8">
        <f t="shared" si="4"/>
        <v>44461</v>
      </c>
      <c r="C30" s="42" t="str">
        <f t="shared" si="0"/>
        <v>Wed</v>
      </c>
      <c r="D30" s="18">
        <v>0.5</v>
      </c>
      <c r="E30" s="42"/>
      <c r="F30" s="19">
        <f t="shared" si="1"/>
        <v>4175</v>
      </c>
      <c r="G30" s="20">
        <v>0.55600000000000005</v>
      </c>
      <c r="H30" s="42"/>
      <c r="I30" s="42"/>
      <c r="J30" s="21">
        <v>105987</v>
      </c>
      <c r="K30" s="22">
        <f t="shared" si="2"/>
        <v>5803</v>
      </c>
      <c r="L30" s="24"/>
      <c r="M30" s="24"/>
      <c r="N30" s="22"/>
      <c r="O30" s="24"/>
      <c r="P30" s="24"/>
      <c r="Q30" s="50">
        <v>5681</v>
      </c>
      <c r="R30" s="51">
        <v>2240</v>
      </c>
      <c r="S30" s="49">
        <f t="shared" si="3"/>
        <v>7921</v>
      </c>
      <c r="T30" s="44">
        <v>15.3</v>
      </c>
      <c r="U30" s="44">
        <v>17.899999999999999</v>
      </c>
      <c r="V30" s="44">
        <v>15.3</v>
      </c>
      <c r="W30" s="44">
        <v>13</v>
      </c>
      <c r="X30" s="7">
        <v>95.4</v>
      </c>
      <c r="Y30" s="7">
        <f t="shared" si="5"/>
        <v>2822.596</v>
      </c>
      <c r="Z30" s="13"/>
      <c r="AA30" s="30">
        <v>36</v>
      </c>
      <c r="AB30" s="30">
        <v>3</v>
      </c>
      <c r="AC30" s="17" t="s">
        <v>150</v>
      </c>
    </row>
    <row r="31" spans="2:29" x14ac:dyDescent="0.25">
      <c r="B31" s="8">
        <f t="shared" si="4"/>
        <v>44462</v>
      </c>
      <c r="C31" s="42" t="str">
        <f t="shared" si="0"/>
        <v>Thu</v>
      </c>
      <c r="D31" s="18">
        <v>0.4</v>
      </c>
      <c r="E31" s="42"/>
      <c r="F31" s="19">
        <f t="shared" si="1"/>
        <v>3340</v>
      </c>
      <c r="G31" s="20">
        <v>0.55399999999999994</v>
      </c>
      <c r="H31" s="42"/>
      <c r="I31" s="42"/>
      <c r="J31" s="21">
        <v>111055</v>
      </c>
      <c r="K31" s="22">
        <f t="shared" si="2"/>
        <v>5068</v>
      </c>
      <c r="L31" s="24"/>
      <c r="M31" s="24"/>
      <c r="N31" s="22"/>
      <c r="O31" s="24"/>
      <c r="P31" s="24"/>
      <c r="Q31" s="50">
        <v>4114</v>
      </c>
      <c r="R31" s="51">
        <v>2150</v>
      </c>
      <c r="S31" s="49">
        <f t="shared" si="3"/>
        <v>6264</v>
      </c>
      <c r="T31" s="44">
        <v>11.2</v>
      </c>
      <c r="U31" s="44">
        <v>16.600000000000001</v>
      </c>
      <c r="V31" s="44">
        <v>11.2</v>
      </c>
      <c r="W31" s="44">
        <v>12.11</v>
      </c>
      <c r="X31" s="7">
        <v>65.8</v>
      </c>
      <c r="Y31" s="7">
        <f t="shared" si="5"/>
        <v>2888.3960000000002</v>
      </c>
      <c r="Z31" s="10">
        <v>0.1237</v>
      </c>
      <c r="AA31" s="30">
        <v>80</v>
      </c>
      <c r="AB31" s="30">
        <v>6</v>
      </c>
      <c r="AC31" s="17" t="s">
        <v>150</v>
      </c>
    </row>
    <row r="32" spans="2:29" x14ac:dyDescent="0.25">
      <c r="B32" s="8">
        <f t="shared" si="4"/>
        <v>44463</v>
      </c>
      <c r="C32" s="42" t="str">
        <f t="shared" si="0"/>
        <v>Fri</v>
      </c>
      <c r="D32" s="18">
        <v>0.67</v>
      </c>
      <c r="E32" s="42"/>
      <c r="F32" s="19">
        <f t="shared" si="1"/>
        <v>5594.5</v>
      </c>
      <c r="G32" s="20"/>
      <c r="H32" s="42"/>
      <c r="I32" s="42"/>
      <c r="J32" s="21">
        <v>111055</v>
      </c>
      <c r="K32" s="22">
        <f t="shared" si="2"/>
        <v>0</v>
      </c>
      <c r="L32" s="24"/>
      <c r="M32" s="24"/>
      <c r="N32" s="22"/>
      <c r="O32" s="24"/>
      <c r="P32" s="24"/>
      <c r="Q32" s="50"/>
      <c r="R32" s="51"/>
      <c r="S32" s="49"/>
      <c r="T32" s="44"/>
      <c r="U32" s="44"/>
      <c r="V32" s="44"/>
      <c r="W32" s="44"/>
      <c r="X32" s="7"/>
      <c r="Y32" s="7">
        <f t="shared" si="5"/>
        <v>2888.3960000000002</v>
      </c>
      <c r="Z32" s="13"/>
      <c r="AA32" s="30">
        <v>90</v>
      </c>
      <c r="AB32" s="30">
        <v>3</v>
      </c>
      <c r="AC32" s="17" t="s">
        <v>152</v>
      </c>
    </row>
    <row r="33" spans="2:29" x14ac:dyDescent="0.25">
      <c r="B33" s="8">
        <f t="shared" si="4"/>
        <v>44464</v>
      </c>
      <c r="C33" s="42" t="str">
        <f t="shared" si="0"/>
        <v>Sat</v>
      </c>
      <c r="D33" s="18">
        <v>0.82</v>
      </c>
      <c r="E33" s="42"/>
      <c r="F33" s="19">
        <f t="shared" si="1"/>
        <v>6847</v>
      </c>
      <c r="G33" s="20">
        <v>0.55300000000000005</v>
      </c>
      <c r="H33" s="42"/>
      <c r="I33" s="42"/>
      <c r="J33" s="21">
        <v>111055</v>
      </c>
      <c r="K33" s="22">
        <f t="shared" si="2"/>
        <v>0</v>
      </c>
      <c r="L33" s="24"/>
      <c r="M33" s="24"/>
      <c r="N33" s="22"/>
      <c r="O33" s="24"/>
      <c r="P33" s="24"/>
      <c r="Q33" s="50"/>
      <c r="R33" s="51"/>
      <c r="S33" s="49"/>
      <c r="T33" s="44"/>
      <c r="U33" s="44"/>
      <c r="V33" s="44"/>
      <c r="W33" s="44"/>
      <c r="X33" s="7"/>
      <c r="Y33" s="7">
        <f t="shared" si="5"/>
        <v>2888.3960000000002</v>
      </c>
      <c r="Z33" s="13"/>
      <c r="AA33" s="30">
        <v>66</v>
      </c>
      <c r="AB33" s="30">
        <v>2</v>
      </c>
      <c r="AC33" s="17" t="s">
        <v>152</v>
      </c>
    </row>
    <row r="34" spans="2:29" x14ac:dyDescent="0.25">
      <c r="B34" s="8">
        <f t="shared" si="4"/>
        <v>44465</v>
      </c>
      <c r="C34" s="42" t="str">
        <f t="shared" si="0"/>
        <v>Sun</v>
      </c>
      <c r="D34" s="18">
        <v>0.43</v>
      </c>
      <c r="E34" s="42"/>
      <c r="F34" s="19">
        <f t="shared" si="1"/>
        <v>3590.5</v>
      </c>
      <c r="G34" s="20">
        <v>0.55300000000000005</v>
      </c>
      <c r="H34" s="42"/>
      <c r="I34" s="42"/>
      <c r="J34" s="21">
        <v>114243</v>
      </c>
      <c r="K34" s="22">
        <f t="shared" si="2"/>
        <v>3188</v>
      </c>
      <c r="L34" s="24"/>
      <c r="M34" s="24"/>
      <c r="N34" s="22"/>
      <c r="O34" s="24"/>
      <c r="P34" s="24"/>
      <c r="Q34" s="50">
        <v>3156</v>
      </c>
      <c r="R34" s="51">
        <v>1300</v>
      </c>
      <c r="S34" s="49">
        <f t="shared" si="3"/>
        <v>4456</v>
      </c>
      <c r="T34" s="44">
        <v>8.6999999999999993</v>
      </c>
      <c r="U34" s="44">
        <v>11.3</v>
      </c>
      <c r="V34" s="44">
        <v>8.6999999999999993</v>
      </c>
      <c r="W34" s="44">
        <v>8.8000000000000007</v>
      </c>
      <c r="X34" s="7">
        <v>66.900000000000006</v>
      </c>
      <c r="Y34" s="7">
        <f t="shared" si="5"/>
        <v>2955.2960000000003</v>
      </c>
      <c r="Z34" s="13"/>
      <c r="AA34" s="30">
        <v>154</v>
      </c>
      <c r="AB34" s="30">
        <v>3</v>
      </c>
      <c r="AC34" s="17" t="s">
        <v>150</v>
      </c>
    </row>
    <row r="35" spans="2:29" x14ac:dyDescent="0.25">
      <c r="B35" s="8">
        <f t="shared" si="4"/>
        <v>44466</v>
      </c>
      <c r="C35" s="42" t="str">
        <f t="shared" si="0"/>
        <v>Mon</v>
      </c>
      <c r="D35" s="18">
        <v>0.18310000000000001</v>
      </c>
      <c r="E35" s="42"/>
      <c r="F35" s="19">
        <f t="shared" si="1"/>
        <v>1528.8850000000002</v>
      </c>
      <c r="G35" s="20">
        <v>0.55800000000000005</v>
      </c>
      <c r="H35" s="42"/>
      <c r="I35" s="42"/>
      <c r="J35" s="21">
        <v>123660</v>
      </c>
      <c r="K35" s="22">
        <f t="shared" si="2"/>
        <v>9417</v>
      </c>
      <c r="L35" s="24"/>
      <c r="M35" s="24"/>
      <c r="N35" s="22"/>
      <c r="O35" s="24"/>
      <c r="P35" s="24"/>
      <c r="Q35" s="50">
        <v>8280</v>
      </c>
      <c r="R35" s="51">
        <v>1785</v>
      </c>
      <c r="S35" s="49">
        <f t="shared" si="3"/>
        <v>10065</v>
      </c>
      <c r="T35" s="44">
        <v>20.2</v>
      </c>
      <c r="U35" s="44">
        <v>20.100000000000001</v>
      </c>
      <c r="V35" s="44">
        <v>20.2</v>
      </c>
      <c r="W35" s="44">
        <v>20.81</v>
      </c>
      <c r="X35" s="7">
        <v>112.5</v>
      </c>
      <c r="Y35" s="7">
        <f t="shared" si="5"/>
        <v>3067.7960000000003</v>
      </c>
      <c r="Z35" s="10">
        <v>0.13070000000000001</v>
      </c>
      <c r="AA35" s="30">
        <v>281</v>
      </c>
      <c r="AB35" s="30">
        <v>2</v>
      </c>
      <c r="AC35" s="17" t="s">
        <v>151</v>
      </c>
    </row>
    <row r="36" spans="2:29" x14ac:dyDescent="0.25">
      <c r="B36" s="8">
        <f t="shared" si="4"/>
        <v>44467</v>
      </c>
      <c r="C36" s="42" t="str">
        <f t="shared" si="0"/>
        <v>Tue</v>
      </c>
      <c r="D36" s="18">
        <v>0.15770000000000001</v>
      </c>
      <c r="E36" s="42"/>
      <c r="F36" s="19">
        <f t="shared" si="1"/>
        <v>1316.7950000000001</v>
      </c>
      <c r="G36" s="27">
        <v>0.55200000000000005</v>
      </c>
      <c r="H36" s="42"/>
      <c r="I36" s="42"/>
      <c r="J36" s="21">
        <v>133863</v>
      </c>
      <c r="K36" s="22">
        <f t="shared" si="2"/>
        <v>10203</v>
      </c>
      <c r="L36" s="24"/>
      <c r="M36" s="24"/>
      <c r="N36" s="22"/>
      <c r="O36" s="24"/>
      <c r="P36" s="24"/>
      <c r="Q36" s="50">
        <v>9085</v>
      </c>
      <c r="R36" s="51">
        <v>1800</v>
      </c>
      <c r="S36" s="49">
        <f t="shared" si="3"/>
        <v>10885</v>
      </c>
      <c r="T36" s="44">
        <v>20</v>
      </c>
      <c r="U36" s="44">
        <v>20.100000000000001</v>
      </c>
      <c r="V36" s="44">
        <v>20</v>
      </c>
      <c r="W36" s="44">
        <v>21.55</v>
      </c>
      <c r="X36" s="7">
        <v>175.1</v>
      </c>
      <c r="Y36" s="7">
        <f t="shared" si="5"/>
        <v>3242.8960000000002</v>
      </c>
      <c r="Z36" s="10">
        <v>0.11260000000000001</v>
      </c>
      <c r="AA36" s="30">
        <v>269</v>
      </c>
      <c r="AB36" s="30">
        <v>3</v>
      </c>
      <c r="AC36" s="17" t="s">
        <v>151</v>
      </c>
    </row>
    <row r="37" spans="2:29" x14ac:dyDescent="0.25">
      <c r="B37" s="8">
        <f t="shared" si="4"/>
        <v>44468</v>
      </c>
      <c r="C37" s="42"/>
      <c r="D37" s="18"/>
      <c r="E37" s="42"/>
      <c r="F37" s="19"/>
      <c r="G37" s="27"/>
      <c r="H37" s="42"/>
      <c r="I37" s="42"/>
      <c r="J37" s="21"/>
      <c r="K37" s="22"/>
      <c r="L37" s="24"/>
      <c r="M37" s="24"/>
      <c r="N37" s="22"/>
      <c r="O37" s="24"/>
      <c r="P37" s="24"/>
      <c r="Q37" s="31"/>
      <c r="R37" s="44"/>
      <c r="S37" s="49">
        <f t="shared" si="3"/>
        <v>0</v>
      </c>
      <c r="T37" s="44"/>
      <c r="U37" s="44"/>
      <c r="V37" s="44"/>
      <c r="W37" s="44"/>
      <c r="X37" s="7"/>
      <c r="Y37" s="7"/>
      <c r="Z37" s="11"/>
      <c r="AA37" s="30"/>
      <c r="AB37" s="30"/>
      <c r="AC37" s="17"/>
    </row>
    <row r="38" spans="2:29" x14ac:dyDescent="0.25">
      <c r="B38" s="8">
        <f t="shared" si="4"/>
        <v>44469</v>
      </c>
      <c r="C38" s="42" t="str">
        <f t="shared" si="0"/>
        <v>Thu</v>
      </c>
      <c r="D38" s="18"/>
      <c r="E38" s="42"/>
      <c r="F38" s="19">
        <f t="shared" si="1"/>
        <v>0</v>
      </c>
      <c r="G38" s="42"/>
      <c r="H38" s="42"/>
      <c r="I38" s="42"/>
      <c r="J38" s="21"/>
      <c r="K38" s="22"/>
      <c r="L38" s="24"/>
      <c r="M38" s="24"/>
      <c r="N38" s="22"/>
      <c r="O38" s="24"/>
      <c r="P38" s="24"/>
      <c r="Q38" s="31"/>
      <c r="R38" s="44"/>
      <c r="S38" s="49">
        <f t="shared" si="3"/>
        <v>0</v>
      </c>
      <c r="T38" s="44"/>
      <c r="U38" s="44"/>
      <c r="V38" s="44"/>
      <c r="W38" s="44"/>
      <c r="X38" s="7"/>
      <c r="Y38" s="7"/>
      <c r="Z38" s="11"/>
      <c r="AA38" s="30"/>
      <c r="AB38" s="30"/>
      <c r="AC38" s="17"/>
    </row>
    <row r="39" spans="2:29" x14ac:dyDescent="0.25">
      <c r="B39" s="14" t="s">
        <v>149</v>
      </c>
      <c r="C39" s="42"/>
      <c r="D39" s="42"/>
      <c r="E39" s="42"/>
      <c r="F39" s="42"/>
      <c r="G39" s="42"/>
      <c r="H39" s="42"/>
      <c r="I39" s="42"/>
      <c r="J39" s="24"/>
      <c r="K39" s="28">
        <f>SUM(K7:K38)</f>
        <v>133863</v>
      </c>
      <c r="L39" s="24"/>
      <c r="M39" s="24"/>
      <c r="N39" s="24"/>
      <c r="O39" s="24"/>
      <c r="P39" s="24"/>
      <c r="Q39" s="31"/>
      <c r="R39" s="44"/>
      <c r="S39" s="49">
        <f t="shared" si="3"/>
        <v>0</v>
      </c>
      <c r="T39" s="44"/>
      <c r="U39" s="44"/>
      <c r="V39" s="44"/>
      <c r="W39" s="44"/>
      <c r="X39" s="7"/>
      <c r="Y39" s="7">
        <f>Y38</f>
        <v>0</v>
      </c>
      <c r="Z39" s="6">
        <f>AVERAGE(Z7:Z38)</f>
        <v>0.11496666666666666</v>
      </c>
      <c r="AA39" s="31"/>
      <c r="AB39" s="31"/>
      <c r="AC39" s="5"/>
    </row>
    <row r="42" spans="2:29" x14ac:dyDescent="0.25">
      <c r="C42" s="16"/>
      <c r="S42" s="52"/>
      <c r="T42" s="53"/>
      <c r="U42" s="53"/>
    </row>
    <row r="43" spans="2:29" x14ac:dyDescent="0.25">
      <c r="T43" s="53"/>
    </row>
  </sheetData>
  <mergeCells count="16">
    <mergeCell ref="X5:Y5"/>
    <mergeCell ref="B3:W3"/>
    <mergeCell ref="X3:Z4"/>
    <mergeCell ref="AA3:AB4"/>
    <mergeCell ref="AC3:AC6"/>
    <mergeCell ref="B4:B6"/>
    <mergeCell ref="C4:C6"/>
    <mergeCell ref="D4:E4"/>
    <mergeCell ref="H4:K4"/>
    <mergeCell ref="L4:N4"/>
    <mergeCell ref="O4:P5"/>
    <mergeCell ref="T4:U4"/>
    <mergeCell ref="V4:W4"/>
    <mergeCell ref="H5:I5"/>
    <mergeCell ref="J5:K5"/>
    <mergeCell ref="L5:M5"/>
  </mergeCells>
  <pageMargins left="0" right="0" top="0.35433070866141736" bottom="0" header="0.31496062992125984" footer="0.31496062992125984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5eb793-e3c8-4796-a60e-7c80e11f57f5">
      <Terms xmlns="http://schemas.microsoft.com/office/infopath/2007/PartnerControls"/>
    </lcf76f155ced4ddcb4097134ff3c332f>
    <TaxCatchAll xmlns="33399894-2864-40ab-a8d8-245a5ff1a870" xsi:nil="true"/>
    <Duedate xmlns="745eb793-e3c8-4796-a60e-7c80e11f57f5">2025-11-25T03:18:30+00:00</Duedate>
    <Status xmlns="745eb793-e3c8-4796-a60e-7c80e11f57f5">Submitted</Statu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4FB717ED2C6F47B3F53CA4212D3DBF" ma:contentTypeVersion="26" ma:contentTypeDescription="Create a new document." ma:contentTypeScope="" ma:versionID="97bb429dac995270d43482fe8af3f03b">
  <xsd:schema xmlns:xsd="http://www.w3.org/2001/XMLSchema" xmlns:xs="http://www.w3.org/2001/XMLSchema" xmlns:p="http://schemas.microsoft.com/office/2006/metadata/properties" xmlns:ns2="745eb793-e3c8-4796-a60e-7c80e11f57f5" xmlns:ns3="33399894-2864-40ab-a8d8-245a5ff1a870" targetNamespace="http://schemas.microsoft.com/office/2006/metadata/properties" ma:root="true" ma:fieldsID="96d347b72b1a969bfda23a183ab2ca2d" ns2:_="" ns3:_="">
    <xsd:import namespace="745eb793-e3c8-4796-a60e-7c80e11f57f5"/>
    <xsd:import namespace="33399894-2864-40ab-a8d8-245a5ff1a8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Status"/>
                <xsd:element ref="ns2:Duedate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5eb793-e3c8-4796-a60e-7c80e11f57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2092d835-7a44-4ae7-921a-15a2b649f7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tatus" ma:index="24" ma:displayName="Status" ma:default="Submitted" ma:format="RadioButtons" ma:internalName="Status">
      <xsd:simpleType>
        <xsd:restriction base="dms:Choice">
          <xsd:enumeration value="Submitted"/>
          <xsd:enumeration value="Requested"/>
        </xsd:restriction>
      </xsd:simpleType>
    </xsd:element>
    <xsd:element name="Duedate" ma:index="25" ma:displayName="Due date" ma:default="[today]" ma:format="DateOnly" ma:indexed="true" ma:internalName="Duedate">
      <xsd:simpleType>
        <xsd:restriction base="dms:DateTime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399894-2864-40ab-a8d8-245a5ff1a87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7a98746c-d62a-4f18-8263-fa20a138df25}" ma:internalName="TaxCatchAll" ma:showField="CatchAllData" ma:web="33399894-2864-40ab-a8d8-245a5ff1a8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4DEA79-B5BB-4B4A-A049-E1DBCA03522F}">
  <ds:schemaRefs>
    <ds:schemaRef ds:uri="http://schemas.microsoft.com/office/2006/metadata/properties"/>
    <ds:schemaRef ds:uri="http://schemas.microsoft.com/office/infopath/2007/PartnerControls"/>
    <ds:schemaRef ds:uri="745eb793-e3c8-4796-a60e-7c80e11f57f5"/>
    <ds:schemaRef ds:uri="33399894-2864-40ab-a8d8-245a5ff1a870"/>
  </ds:schemaRefs>
</ds:datastoreItem>
</file>

<file path=customXml/itemProps2.xml><?xml version="1.0" encoding="utf-8"?>
<ds:datastoreItem xmlns:ds="http://schemas.openxmlformats.org/officeDocument/2006/customXml" ds:itemID="{961C7CBB-4AAA-4D10-BD9E-953B2F3670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5eb793-e3c8-4796-a60e-7c80e11f57f5"/>
    <ds:schemaRef ds:uri="33399894-2864-40ab-a8d8-245a5ff1a8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9302B44-12B9-4A18-A8F1-1902B55C8F8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5</vt:i4>
      </vt:variant>
    </vt:vector>
  </HeadingPairs>
  <TitlesOfParts>
    <vt:vector size="26" baseType="lpstr">
      <vt:lpstr>May2022</vt:lpstr>
      <vt:lpstr>Jun2022</vt:lpstr>
      <vt:lpstr>Jul2022</vt:lpstr>
      <vt:lpstr>Aug2022</vt:lpstr>
      <vt:lpstr>Sheet1</vt:lpstr>
      <vt:lpstr>Sep2022</vt:lpstr>
      <vt:lpstr>Oct2022</vt:lpstr>
      <vt:lpstr>Nov2022</vt:lpstr>
      <vt:lpstr>Dec2022</vt:lpstr>
      <vt:lpstr>Jan2023</vt:lpstr>
      <vt:lpstr>Feb2023</vt:lpstr>
      <vt:lpstr>Mar2023</vt:lpstr>
      <vt:lpstr>Summary Daily</vt:lpstr>
      <vt:lpstr>NOV01</vt:lpstr>
      <vt:lpstr>NOV02</vt:lpstr>
      <vt:lpstr>NOV03</vt:lpstr>
      <vt:lpstr>NOV04</vt:lpstr>
      <vt:lpstr>NOV05</vt:lpstr>
      <vt:lpstr>Utilities Pol</vt:lpstr>
      <vt:lpstr>Change Tracker</vt:lpstr>
      <vt:lpstr>Previous day</vt:lpstr>
      <vt:lpstr>'NOV01'!Print_Area</vt:lpstr>
      <vt:lpstr>'NOV02'!Print_Area</vt:lpstr>
      <vt:lpstr>'NOV03'!Print_Area</vt:lpstr>
      <vt:lpstr>'NOV04'!Print_Area</vt:lpstr>
      <vt:lpstr>'NOV05'!Print_Area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Mari L. Vallejo</dc:creator>
  <cp:keywords/>
  <dc:description/>
  <cp:lastModifiedBy>Bryl Dolor</cp:lastModifiedBy>
  <cp:revision/>
  <dcterms:created xsi:type="dcterms:W3CDTF">2021-09-14T01:36:16Z</dcterms:created>
  <dcterms:modified xsi:type="dcterms:W3CDTF">2025-11-29T04:51:57Z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0x010100784FB717ED2C6F47B3F53CA4212D3DBF</vt:lpwstr>
  </property>
  <property fmtid="{D5CDD505-2E9C-101B-9397-08002B2CF9AE}" pid="3" name="MediaServiceImageTags">
    <vt:lpwstr/>
  </property>
</Properties>
</file>